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matthewtruehart/Downloads/"/>
    </mc:Choice>
  </mc:AlternateContent>
  <xr:revisionPtr revIDLastSave="0" documentId="8_{985FC1CC-4A67-EE4A-8431-985849E5604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trategy comparison" sheetId="15" r:id="rId1"/>
    <sheet name="DB comparison" sheetId="54" r:id="rId2"/>
    <sheet name="Roth comparison" sheetId="46" r:id="rId3"/>
    <sheet name="No planning" sheetId="28" r:id="rId4"/>
    <sheet name="Roth only" sheetId="53" r:id="rId5"/>
    <sheet name="RMD Simulation" sheetId="44" r:id="rId6"/>
    <sheet name="DB Only" sheetId="27" r:id="rId7"/>
    <sheet name="Film" sheetId="35" r:id="rId8"/>
    <sheet name="Film &amp; DB" sheetId="36" r:id="rId9"/>
    <sheet name="Film &amp; Roth" sheetId="47" r:id="rId10"/>
    <sheet name="Solar" sheetId="24" r:id="rId11"/>
    <sheet name="Solar &amp; DB" sheetId="30" r:id="rId12"/>
    <sheet name="Solar &amp; Roth" sheetId="48" r:id="rId13"/>
    <sheet name="Charitable" sheetId="10" r:id="rId14"/>
    <sheet name="Charitable &amp; DB" sheetId="31" r:id="rId15"/>
    <sheet name="Charitable &amp; Roth" sheetId="49" r:id="rId16"/>
    <sheet name="Solar &amp; Charitable" sheetId="22" r:id="rId17"/>
    <sheet name="Solar &amp; Charitable &amp; DB" sheetId="32" r:id="rId18"/>
    <sheet name="Solar &amp; Charitable &amp; Roth" sheetId="50" r:id="rId19"/>
    <sheet name="LEAP" sheetId="6" r:id="rId20"/>
    <sheet name="LEAP &amp; DB" sheetId="33" r:id="rId21"/>
    <sheet name="LEAP &amp; Roth" sheetId="51" r:id="rId22"/>
    <sheet name="LEAP &amp; Charitable" sheetId="26" r:id="rId23"/>
    <sheet name="LEAP &amp; Charitable &amp; DB" sheetId="34" r:id="rId24"/>
    <sheet name="LEAP &amp; Charitable &amp; Roth" sheetId="52" r:id="rId25"/>
    <sheet name="Tax Tables" sheetId="14" r:id="rId26"/>
    <sheet name="RGP Income Fund" sheetId="40" r:id="rId27"/>
    <sheet name="RGP Income Fund 2" sheetId="43" r:id="rId28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5" l="1"/>
  <c r="G18" i="15"/>
  <c r="C8" i="46"/>
  <c r="AL17" i="44"/>
  <c r="S2" i="46"/>
  <c r="S3" i="46" s="1"/>
  <c r="S4" i="46" s="1"/>
  <c r="S5" i="46" s="1"/>
  <c r="S6" i="46" s="1"/>
  <c r="S7" i="46" s="1"/>
  <c r="S8" i="46" s="1"/>
  <c r="S9" i="46" s="1"/>
  <c r="S10" i="46" s="1"/>
  <c r="S11" i="46" s="1"/>
  <c r="S12" i="46" s="1"/>
  <c r="S13" i="46" s="1"/>
  <c r="S14" i="46" s="1"/>
  <c r="S15" i="46" s="1"/>
  <c r="S16" i="46" s="1"/>
  <c r="S17" i="46" s="1"/>
  <c r="S18" i="46" s="1"/>
  <c r="S19" i="46" s="1"/>
  <c r="S20" i="46" s="1"/>
  <c r="S21" i="46" s="1"/>
  <c r="S22" i="46" s="1"/>
  <c r="S23" i="46" s="1"/>
  <c r="S24" i="46" s="1"/>
  <c r="S25" i="46" s="1"/>
  <c r="S26" i="46" s="1"/>
  <c r="S27" i="46" s="1"/>
  <c r="S28" i="46" s="1"/>
  <c r="S29" i="46" s="1"/>
  <c r="S30" i="46" s="1"/>
  <c r="S31" i="46" s="1"/>
  <c r="S32" i="46" s="1"/>
  <c r="S33" i="46" s="1"/>
  <c r="S34" i="46" s="1"/>
  <c r="S35" i="46" s="1"/>
  <c r="S36" i="46" s="1"/>
  <c r="S37" i="46" s="1"/>
  <c r="S38" i="46" s="1"/>
  <c r="S39" i="46" s="1"/>
  <c r="S40" i="46" s="1"/>
  <c r="S41" i="46" s="1"/>
  <c r="S42" i="46" s="1"/>
  <c r="S43" i="46" s="1"/>
  <c r="S44" i="46" s="1"/>
  <c r="S45" i="46" s="1"/>
  <c r="S46" i="46" s="1"/>
  <c r="S47" i="46" s="1"/>
  <c r="S48" i="46" s="1"/>
  <c r="S49" i="46" s="1"/>
  <c r="S50" i="46" s="1"/>
  <c r="S51" i="46" s="1"/>
  <c r="S52" i="46" s="1"/>
  <c r="S53" i="46" s="1"/>
  <c r="S54" i="46" s="1"/>
  <c r="S55" i="46" s="1"/>
  <c r="S56" i="46" s="1"/>
  <c r="S57" i="46" s="1"/>
  <c r="S58" i="46" s="1"/>
  <c r="S59" i="46" s="1"/>
  <c r="S60" i="46" s="1"/>
  <c r="S61" i="46" s="1"/>
  <c r="S62" i="46" s="1"/>
  <c r="S63" i="46" s="1"/>
  <c r="S64" i="46" s="1"/>
  <c r="S65" i="46" s="1"/>
  <c r="S66" i="46" s="1"/>
  <c r="S67" i="46" s="1"/>
  <c r="S68" i="46" s="1"/>
  <c r="S69" i="46" s="1"/>
  <c r="S70" i="46" s="1"/>
  <c r="S71" i="46" s="1"/>
  <c r="S72" i="46" s="1"/>
  <c r="S73" i="46" s="1"/>
  <c r="S74" i="46" s="1"/>
  <c r="S75" i="46" s="1"/>
  <c r="S76" i="46" s="1"/>
  <c r="S77" i="46" s="1"/>
  <c r="S78" i="46" s="1"/>
  <c r="S79" i="46" s="1"/>
  <c r="AA17" i="44"/>
  <c r="A10" i="44"/>
  <c r="B10" i="44"/>
  <c r="B9" i="44"/>
  <c r="AC13" i="44" s="1"/>
  <c r="A9" i="44"/>
  <c r="F33" i="46"/>
  <c r="G18" i="54"/>
  <c r="H18" i="54"/>
  <c r="I18" i="54"/>
  <c r="J18" i="54"/>
  <c r="K18" i="54"/>
  <c r="L18" i="54"/>
  <c r="B8" i="44"/>
  <c r="P17" i="44"/>
  <c r="P18" i="44" s="1"/>
  <c r="P19" i="44" s="1"/>
  <c r="P20" i="44" s="1"/>
  <c r="P21" i="44" s="1"/>
  <c r="P22" i="44" s="1"/>
  <c r="P23" i="44" s="1"/>
  <c r="P24" i="44" s="1"/>
  <c r="P25" i="44" s="1"/>
  <c r="P26" i="44" s="1"/>
  <c r="P27" i="44" s="1"/>
  <c r="P28" i="44" s="1"/>
  <c r="P29" i="44" s="1"/>
  <c r="P30" i="44" s="1"/>
  <c r="P31" i="44" s="1"/>
  <c r="P32" i="44" s="1"/>
  <c r="P33" i="44" s="1"/>
  <c r="P34" i="44" s="1"/>
  <c r="P35" i="44" s="1"/>
  <c r="P36" i="44" s="1"/>
  <c r="P37" i="44" s="1"/>
  <c r="P38" i="44" s="1"/>
  <c r="P39" i="44" s="1"/>
  <c r="P40" i="44" s="1"/>
  <c r="P41" i="44" s="1"/>
  <c r="P42" i="44" s="1"/>
  <c r="P43" i="44" s="1"/>
  <c r="P44" i="44" s="1"/>
  <c r="P45" i="44" s="1"/>
  <c r="P46" i="44" s="1"/>
  <c r="P47" i="44" s="1"/>
  <c r="P48" i="44" s="1"/>
  <c r="P49" i="44" s="1"/>
  <c r="P50" i="44" s="1"/>
  <c r="P51" i="44" s="1"/>
  <c r="P52" i="44" s="1"/>
  <c r="P53" i="44" s="1"/>
  <c r="P54" i="44" s="1"/>
  <c r="P55" i="44" s="1"/>
  <c r="P56" i="44" s="1"/>
  <c r="P57" i="44" s="1"/>
  <c r="P58" i="44" s="1"/>
  <c r="P59" i="44" s="1"/>
  <c r="P60" i="44" s="1"/>
  <c r="P61" i="44" s="1"/>
  <c r="P62" i="44" s="1"/>
  <c r="P63" i="44" s="1"/>
  <c r="P64" i="44" s="1"/>
  <c r="P65" i="44" s="1"/>
  <c r="P66" i="44" s="1"/>
  <c r="P67" i="44" s="1"/>
  <c r="P68" i="44" s="1"/>
  <c r="F41" i="46"/>
  <c r="F38" i="54"/>
  <c r="F25" i="54"/>
  <c r="G25" i="54"/>
  <c r="H25" i="54"/>
  <c r="I25" i="54"/>
  <c r="J25" i="54"/>
  <c r="K25" i="54"/>
  <c r="L25" i="54"/>
  <c r="F31" i="54"/>
  <c r="G31" i="54"/>
  <c r="H31" i="54"/>
  <c r="I31" i="54"/>
  <c r="J31" i="54"/>
  <c r="K31" i="54"/>
  <c r="L31" i="54"/>
  <c r="C13" i="51"/>
  <c r="C24" i="51" s="1"/>
  <c r="J33" i="46"/>
  <c r="L19" i="46"/>
  <c r="K19" i="46"/>
  <c r="J19" i="46"/>
  <c r="I19" i="46"/>
  <c r="L33" i="46"/>
  <c r="K33" i="46"/>
  <c r="I33" i="46"/>
  <c r="H33" i="46"/>
  <c r="H19" i="46"/>
  <c r="H9" i="15"/>
  <c r="I44" i="53"/>
  <c r="O39" i="53"/>
  <c r="N39" i="53"/>
  <c r="M39" i="53"/>
  <c r="I39" i="53"/>
  <c r="H39" i="53"/>
  <c r="G39" i="53"/>
  <c r="O38" i="53"/>
  <c r="N38" i="53"/>
  <c r="M38" i="53"/>
  <c r="I38" i="53"/>
  <c r="H38" i="53"/>
  <c r="G38" i="53"/>
  <c r="O37" i="53"/>
  <c r="N37" i="53"/>
  <c r="M37" i="53"/>
  <c r="I37" i="53"/>
  <c r="H37" i="53"/>
  <c r="G37" i="53"/>
  <c r="O36" i="53"/>
  <c r="N36" i="53"/>
  <c r="M36" i="53"/>
  <c r="I36" i="53"/>
  <c r="H36" i="53"/>
  <c r="G36" i="53"/>
  <c r="O35" i="53"/>
  <c r="N35" i="53"/>
  <c r="M35" i="53"/>
  <c r="I35" i="53"/>
  <c r="H35" i="53"/>
  <c r="G35" i="53"/>
  <c r="O34" i="53"/>
  <c r="N34" i="53"/>
  <c r="M34" i="53"/>
  <c r="I34" i="53"/>
  <c r="H34" i="53"/>
  <c r="G34" i="53"/>
  <c r="O25" i="53"/>
  <c r="N25" i="53"/>
  <c r="M25" i="53"/>
  <c r="I25" i="53"/>
  <c r="H25" i="53"/>
  <c r="G25" i="53"/>
  <c r="O24" i="53"/>
  <c r="N24" i="53"/>
  <c r="M24" i="53"/>
  <c r="I24" i="53"/>
  <c r="H24" i="53"/>
  <c r="G24" i="53"/>
  <c r="O23" i="53"/>
  <c r="N23" i="53"/>
  <c r="M23" i="53"/>
  <c r="I23" i="53"/>
  <c r="H23" i="53"/>
  <c r="G23" i="53"/>
  <c r="O14" i="53"/>
  <c r="N14" i="53"/>
  <c r="M14" i="53"/>
  <c r="I14" i="53"/>
  <c r="H14" i="53"/>
  <c r="G14" i="53"/>
  <c r="O13" i="53"/>
  <c r="N13" i="53"/>
  <c r="M13" i="53"/>
  <c r="I13" i="53"/>
  <c r="H13" i="53"/>
  <c r="G13" i="53"/>
  <c r="C13" i="53"/>
  <c r="O12" i="53"/>
  <c r="N12" i="53"/>
  <c r="M12" i="53"/>
  <c r="I12" i="53"/>
  <c r="H12" i="53"/>
  <c r="G12" i="53"/>
  <c r="O11" i="53"/>
  <c r="N11" i="53"/>
  <c r="M11" i="53"/>
  <c r="I11" i="53"/>
  <c r="H11" i="53"/>
  <c r="G11" i="53"/>
  <c r="C11" i="53"/>
  <c r="O10" i="53"/>
  <c r="N10" i="53"/>
  <c r="M10" i="53"/>
  <c r="I10" i="53"/>
  <c r="H10" i="53"/>
  <c r="G10" i="53"/>
  <c r="C10" i="53"/>
  <c r="O9" i="53"/>
  <c r="N9" i="53"/>
  <c r="M9" i="53"/>
  <c r="I9" i="53"/>
  <c r="H9" i="53"/>
  <c r="G9" i="53"/>
  <c r="C9" i="53"/>
  <c r="O8" i="53"/>
  <c r="N8" i="53"/>
  <c r="M8" i="53"/>
  <c r="I8" i="53"/>
  <c r="H8" i="53"/>
  <c r="G8" i="53"/>
  <c r="C8" i="53"/>
  <c r="C7" i="53"/>
  <c r="C5" i="53"/>
  <c r="C52" i="52"/>
  <c r="C50" i="52"/>
  <c r="C49" i="52"/>
  <c r="C48" i="52"/>
  <c r="C47" i="52"/>
  <c r="C46" i="52"/>
  <c r="J44" i="52"/>
  <c r="C44" i="52"/>
  <c r="P38" i="52"/>
  <c r="O38" i="52"/>
  <c r="N38" i="52"/>
  <c r="I38" i="52"/>
  <c r="H38" i="52"/>
  <c r="G38" i="52"/>
  <c r="P37" i="52"/>
  <c r="O37" i="52"/>
  <c r="N37" i="52"/>
  <c r="I37" i="52"/>
  <c r="H37" i="52"/>
  <c r="G37" i="52"/>
  <c r="P36" i="52"/>
  <c r="O36" i="52"/>
  <c r="N36" i="52"/>
  <c r="I36" i="52"/>
  <c r="H36" i="52"/>
  <c r="G36" i="52"/>
  <c r="P35" i="52"/>
  <c r="O35" i="52"/>
  <c r="N35" i="52"/>
  <c r="I35" i="52"/>
  <c r="H35" i="52"/>
  <c r="G35" i="52"/>
  <c r="P34" i="52"/>
  <c r="O34" i="52"/>
  <c r="N34" i="52"/>
  <c r="I34" i="52"/>
  <c r="H34" i="52"/>
  <c r="G34" i="52"/>
  <c r="P25" i="52"/>
  <c r="O25" i="52"/>
  <c r="N25" i="52"/>
  <c r="I25" i="52"/>
  <c r="H25" i="52"/>
  <c r="G25" i="52"/>
  <c r="P24" i="52"/>
  <c r="O24" i="52"/>
  <c r="N24" i="52"/>
  <c r="I24" i="52"/>
  <c r="H24" i="52"/>
  <c r="G24" i="52"/>
  <c r="P23" i="52"/>
  <c r="O23" i="52"/>
  <c r="N23" i="52"/>
  <c r="I23" i="52"/>
  <c r="H23" i="52"/>
  <c r="G23" i="52"/>
  <c r="D16" i="52"/>
  <c r="P14" i="52"/>
  <c r="O14" i="52"/>
  <c r="N14" i="52"/>
  <c r="I14" i="52"/>
  <c r="H14" i="52"/>
  <c r="G14" i="52"/>
  <c r="P13" i="52"/>
  <c r="O13" i="52"/>
  <c r="N13" i="52"/>
  <c r="I13" i="52"/>
  <c r="H13" i="52"/>
  <c r="G13" i="52"/>
  <c r="C13" i="52"/>
  <c r="C24" i="52" s="1"/>
  <c r="P12" i="52"/>
  <c r="O12" i="52"/>
  <c r="N12" i="52"/>
  <c r="I12" i="52"/>
  <c r="H12" i="52"/>
  <c r="G12" i="52"/>
  <c r="P11" i="52"/>
  <c r="O11" i="52"/>
  <c r="N11" i="52"/>
  <c r="I11" i="52"/>
  <c r="H11" i="52"/>
  <c r="G11" i="52"/>
  <c r="C11" i="52"/>
  <c r="P10" i="52"/>
  <c r="O10" i="52"/>
  <c r="N10" i="52"/>
  <c r="I10" i="52"/>
  <c r="H10" i="52"/>
  <c r="G10" i="52"/>
  <c r="C10" i="52"/>
  <c r="P9" i="52"/>
  <c r="O9" i="52"/>
  <c r="N9" i="52"/>
  <c r="I9" i="52"/>
  <c r="H9" i="52"/>
  <c r="G9" i="52"/>
  <c r="C9" i="52"/>
  <c r="P8" i="52"/>
  <c r="O8" i="52"/>
  <c r="N8" i="52"/>
  <c r="I8" i="52"/>
  <c r="H8" i="52"/>
  <c r="G8" i="52"/>
  <c r="C8" i="52"/>
  <c r="C7" i="52"/>
  <c r="C23" i="52" s="1"/>
  <c r="C5" i="52"/>
  <c r="J44" i="51"/>
  <c r="O38" i="51"/>
  <c r="N38" i="51"/>
  <c r="M38" i="51"/>
  <c r="I38" i="51"/>
  <c r="H38" i="51"/>
  <c r="G38" i="51"/>
  <c r="O37" i="51"/>
  <c r="N37" i="51"/>
  <c r="M37" i="51"/>
  <c r="I37" i="51"/>
  <c r="H37" i="51"/>
  <c r="G37" i="51"/>
  <c r="O36" i="51"/>
  <c r="N36" i="51"/>
  <c r="M36" i="51"/>
  <c r="I36" i="51"/>
  <c r="H36" i="51"/>
  <c r="G36" i="51"/>
  <c r="O35" i="51"/>
  <c r="N35" i="51"/>
  <c r="M35" i="51"/>
  <c r="I35" i="51"/>
  <c r="H35" i="51"/>
  <c r="G35" i="51"/>
  <c r="O34" i="51"/>
  <c r="N34" i="51"/>
  <c r="M34" i="51"/>
  <c r="I34" i="51"/>
  <c r="H34" i="51"/>
  <c r="G34" i="51"/>
  <c r="O25" i="51"/>
  <c r="N25" i="51"/>
  <c r="M25" i="51"/>
  <c r="I25" i="51"/>
  <c r="H25" i="51"/>
  <c r="G25" i="51"/>
  <c r="O24" i="51"/>
  <c r="N24" i="51"/>
  <c r="M24" i="51"/>
  <c r="I24" i="51"/>
  <c r="H24" i="51"/>
  <c r="G24" i="51"/>
  <c r="O23" i="51"/>
  <c r="N23" i="51"/>
  <c r="M23" i="51"/>
  <c r="I23" i="51"/>
  <c r="H23" i="51"/>
  <c r="G23" i="51"/>
  <c r="D16" i="51"/>
  <c r="O14" i="51"/>
  <c r="N14" i="51"/>
  <c r="M14" i="51"/>
  <c r="I14" i="51"/>
  <c r="H14" i="51"/>
  <c r="G14" i="51"/>
  <c r="O13" i="51"/>
  <c r="N13" i="51"/>
  <c r="M13" i="51"/>
  <c r="I13" i="51"/>
  <c r="H13" i="51"/>
  <c r="G13" i="51"/>
  <c r="O12" i="51"/>
  <c r="N12" i="51"/>
  <c r="M12" i="51"/>
  <c r="I12" i="51"/>
  <c r="H12" i="51"/>
  <c r="G12" i="51"/>
  <c r="O11" i="51"/>
  <c r="N11" i="51"/>
  <c r="M11" i="51"/>
  <c r="I11" i="51"/>
  <c r="H11" i="51"/>
  <c r="G11" i="51"/>
  <c r="C11" i="51"/>
  <c r="O10" i="51"/>
  <c r="N10" i="51"/>
  <c r="M10" i="51"/>
  <c r="I10" i="51"/>
  <c r="H10" i="51"/>
  <c r="G10" i="51"/>
  <c r="C10" i="51"/>
  <c r="O9" i="51"/>
  <c r="N9" i="51"/>
  <c r="M9" i="51"/>
  <c r="I9" i="51"/>
  <c r="H9" i="51"/>
  <c r="G9" i="51"/>
  <c r="C9" i="51"/>
  <c r="O8" i="51"/>
  <c r="N8" i="51"/>
  <c r="M8" i="51"/>
  <c r="I8" i="51"/>
  <c r="H8" i="51"/>
  <c r="G8" i="51"/>
  <c r="C8" i="51"/>
  <c r="C7" i="51"/>
  <c r="C23" i="51" s="1"/>
  <c r="C5" i="51"/>
  <c r="J45" i="50"/>
  <c r="C40" i="50"/>
  <c r="O39" i="50"/>
  <c r="N39" i="50"/>
  <c r="M39" i="50"/>
  <c r="I39" i="50"/>
  <c r="H39" i="50"/>
  <c r="G39" i="50"/>
  <c r="C39" i="50"/>
  <c r="O38" i="50"/>
  <c r="N38" i="50"/>
  <c r="M38" i="50"/>
  <c r="I38" i="50"/>
  <c r="H38" i="50"/>
  <c r="G38" i="50"/>
  <c r="O37" i="50"/>
  <c r="N37" i="50"/>
  <c r="M37" i="50"/>
  <c r="I37" i="50"/>
  <c r="H37" i="50"/>
  <c r="G37" i="50"/>
  <c r="C37" i="50"/>
  <c r="O36" i="50"/>
  <c r="N36" i="50"/>
  <c r="M36" i="50"/>
  <c r="I36" i="50"/>
  <c r="H36" i="50"/>
  <c r="G36" i="50"/>
  <c r="O35" i="50"/>
  <c r="N35" i="50"/>
  <c r="M35" i="50"/>
  <c r="I35" i="50"/>
  <c r="H35" i="50"/>
  <c r="G35" i="50"/>
  <c r="O34" i="50"/>
  <c r="N34" i="50"/>
  <c r="M34" i="50"/>
  <c r="I34" i="50"/>
  <c r="H34" i="50"/>
  <c r="G34" i="50"/>
  <c r="O25" i="50"/>
  <c r="N25" i="50"/>
  <c r="M25" i="50"/>
  <c r="I25" i="50"/>
  <c r="H25" i="50"/>
  <c r="G25" i="50"/>
  <c r="O24" i="50"/>
  <c r="N24" i="50"/>
  <c r="M24" i="50"/>
  <c r="I24" i="50"/>
  <c r="H24" i="50"/>
  <c r="G24" i="50"/>
  <c r="O23" i="50"/>
  <c r="N23" i="50"/>
  <c r="M23" i="50"/>
  <c r="I23" i="50"/>
  <c r="H23" i="50"/>
  <c r="G23" i="50"/>
  <c r="D19" i="50"/>
  <c r="O14" i="50"/>
  <c r="N14" i="50"/>
  <c r="M14" i="50"/>
  <c r="I14" i="50"/>
  <c r="H14" i="50"/>
  <c r="G14" i="50"/>
  <c r="C14" i="50"/>
  <c r="O13" i="50"/>
  <c r="N13" i="50"/>
  <c r="M13" i="50"/>
  <c r="I13" i="50"/>
  <c r="H13" i="50"/>
  <c r="G13" i="50"/>
  <c r="O12" i="50"/>
  <c r="N12" i="50"/>
  <c r="M12" i="50"/>
  <c r="I12" i="50"/>
  <c r="H12" i="50"/>
  <c r="G12" i="50"/>
  <c r="C12" i="50"/>
  <c r="C43" i="50" s="1"/>
  <c r="O11" i="50"/>
  <c r="N11" i="50"/>
  <c r="M11" i="50"/>
  <c r="I11" i="50"/>
  <c r="H11" i="50"/>
  <c r="G11" i="50"/>
  <c r="C11" i="50"/>
  <c r="C42" i="50" s="1"/>
  <c r="C45" i="50" s="1"/>
  <c r="O10" i="50"/>
  <c r="N10" i="50"/>
  <c r="M10" i="50"/>
  <c r="I10" i="50"/>
  <c r="H10" i="50"/>
  <c r="G10" i="50"/>
  <c r="C10" i="50"/>
  <c r="C41" i="50" s="1"/>
  <c r="O9" i="50"/>
  <c r="N9" i="50"/>
  <c r="M9" i="50"/>
  <c r="I9" i="50"/>
  <c r="H9" i="50"/>
  <c r="G9" i="50"/>
  <c r="C9" i="50"/>
  <c r="O8" i="50"/>
  <c r="N8" i="50"/>
  <c r="M8" i="50"/>
  <c r="I8" i="50"/>
  <c r="H8" i="50"/>
  <c r="G8" i="50"/>
  <c r="C8" i="50"/>
  <c r="C6" i="50"/>
  <c r="H44" i="49"/>
  <c r="N39" i="49"/>
  <c r="M39" i="49"/>
  <c r="L39" i="49"/>
  <c r="H39" i="49"/>
  <c r="G39" i="49"/>
  <c r="F39" i="49"/>
  <c r="N38" i="49"/>
  <c r="M38" i="49"/>
  <c r="L38" i="49"/>
  <c r="H38" i="49"/>
  <c r="G38" i="49"/>
  <c r="F38" i="49"/>
  <c r="N37" i="49"/>
  <c r="M37" i="49"/>
  <c r="L37" i="49"/>
  <c r="H37" i="49"/>
  <c r="G37" i="49"/>
  <c r="F37" i="49"/>
  <c r="N36" i="49"/>
  <c r="M36" i="49"/>
  <c r="L36" i="49"/>
  <c r="H36" i="49"/>
  <c r="G36" i="49"/>
  <c r="F36" i="49"/>
  <c r="N35" i="49"/>
  <c r="M35" i="49"/>
  <c r="L35" i="49"/>
  <c r="H35" i="49"/>
  <c r="G35" i="49"/>
  <c r="F35" i="49"/>
  <c r="N34" i="49"/>
  <c r="M34" i="49"/>
  <c r="L34" i="49"/>
  <c r="H34" i="49"/>
  <c r="G34" i="49"/>
  <c r="F34" i="49"/>
  <c r="N25" i="49"/>
  <c r="M25" i="49"/>
  <c r="L25" i="49"/>
  <c r="H25" i="49"/>
  <c r="G25" i="49"/>
  <c r="F25" i="49"/>
  <c r="N24" i="49"/>
  <c r="M24" i="49"/>
  <c r="L24" i="49"/>
  <c r="H24" i="49"/>
  <c r="G24" i="49"/>
  <c r="F24" i="49"/>
  <c r="N23" i="49"/>
  <c r="M23" i="49"/>
  <c r="L23" i="49"/>
  <c r="H23" i="49"/>
  <c r="G23" i="49"/>
  <c r="F23" i="49"/>
  <c r="D16" i="49"/>
  <c r="N14" i="49"/>
  <c r="M14" i="49"/>
  <c r="L14" i="49"/>
  <c r="H14" i="49"/>
  <c r="G14" i="49"/>
  <c r="F14" i="49"/>
  <c r="N13" i="49"/>
  <c r="M13" i="49"/>
  <c r="L13" i="49"/>
  <c r="H13" i="49"/>
  <c r="G13" i="49"/>
  <c r="F13" i="49"/>
  <c r="N12" i="49"/>
  <c r="M12" i="49"/>
  <c r="L12" i="49"/>
  <c r="H12" i="49"/>
  <c r="G12" i="49"/>
  <c r="F12" i="49"/>
  <c r="N11" i="49"/>
  <c r="M11" i="49"/>
  <c r="L11" i="49"/>
  <c r="H11" i="49"/>
  <c r="G11" i="49"/>
  <c r="F11" i="49"/>
  <c r="C11" i="49"/>
  <c r="N10" i="49"/>
  <c r="M10" i="49"/>
  <c r="L10" i="49"/>
  <c r="H10" i="49"/>
  <c r="G10" i="49"/>
  <c r="F10" i="49"/>
  <c r="N9" i="49"/>
  <c r="M9" i="49"/>
  <c r="L9" i="49"/>
  <c r="H9" i="49"/>
  <c r="G9" i="49"/>
  <c r="F9" i="49"/>
  <c r="C9" i="49"/>
  <c r="N8" i="49"/>
  <c r="M8" i="49"/>
  <c r="L8" i="49"/>
  <c r="H8" i="49"/>
  <c r="G8" i="49"/>
  <c r="F8" i="49"/>
  <c r="C8" i="49"/>
  <c r="C7" i="49"/>
  <c r="C6" i="49"/>
  <c r="C5" i="49"/>
  <c r="C3" i="49"/>
  <c r="I44" i="48"/>
  <c r="O39" i="48"/>
  <c r="N39" i="48"/>
  <c r="M39" i="48"/>
  <c r="I39" i="48"/>
  <c r="H39" i="48"/>
  <c r="G39" i="48"/>
  <c r="O38" i="48"/>
  <c r="N38" i="48"/>
  <c r="M38" i="48"/>
  <c r="I38" i="48"/>
  <c r="H38" i="48"/>
  <c r="G38" i="48"/>
  <c r="O37" i="48"/>
  <c r="N37" i="48"/>
  <c r="M37" i="48"/>
  <c r="I37" i="48"/>
  <c r="H37" i="48"/>
  <c r="G37" i="48"/>
  <c r="O36" i="48"/>
  <c r="N36" i="48"/>
  <c r="M36" i="48"/>
  <c r="I36" i="48"/>
  <c r="H36" i="48"/>
  <c r="G36" i="48"/>
  <c r="O35" i="48"/>
  <c r="N35" i="48"/>
  <c r="M35" i="48"/>
  <c r="I35" i="48"/>
  <c r="H35" i="48"/>
  <c r="G35" i="48"/>
  <c r="O34" i="48"/>
  <c r="N34" i="48"/>
  <c r="M34" i="48"/>
  <c r="I34" i="48"/>
  <c r="H34" i="48"/>
  <c r="G34" i="48"/>
  <c r="O25" i="48"/>
  <c r="N25" i="48"/>
  <c r="M25" i="48"/>
  <c r="I25" i="48"/>
  <c r="H25" i="48"/>
  <c r="G25" i="48"/>
  <c r="O24" i="48"/>
  <c r="N24" i="48"/>
  <c r="M24" i="48"/>
  <c r="I24" i="48"/>
  <c r="H24" i="48"/>
  <c r="G24" i="48"/>
  <c r="O23" i="48"/>
  <c r="N23" i="48"/>
  <c r="M23" i="48"/>
  <c r="I23" i="48"/>
  <c r="H23" i="48"/>
  <c r="G23" i="48"/>
  <c r="O14" i="48"/>
  <c r="N14" i="48"/>
  <c r="M14" i="48"/>
  <c r="I14" i="48"/>
  <c r="H14" i="48"/>
  <c r="G14" i="48"/>
  <c r="O13" i="48"/>
  <c r="N13" i="48"/>
  <c r="M13" i="48"/>
  <c r="I13" i="48"/>
  <c r="H13" i="48"/>
  <c r="G13" i="48"/>
  <c r="C13" i="48"/>
  <c r="P22" i="48" s="1"/>
  <c r="P25" i="48" s="1"/>
  <c r="O12" i="48"/>
  <c r="N12" i="48"/>
  <c r="M12" i="48"/>
  <c r="I12" i="48"/>
  <c r="H12" i="48"/>
  <c r="G12" i="48"/>
  <c r="O11" i="48"/>
  <c r="N11" i="48"/>
  <c r="M11" i="48"/>
  <c r="I11" i="48"/>
  <c r="H11" i="48"/>
  <c r="G11" i="48"/>
  <c r="C11" i="48"/>
  <c r="O10" i="48"/>
  <c r="N10" i="48"/>
  <c r="M10" i="48"/>
  <c r="I10" i="48"/>
  <c r="H10" i="48"/>
  <c r="G10" i="48"/>
  <c r="C10" i="48"/>
  <c r="O9" i="48"/>
  <c r="N9" i="48"/>
  <c r="M9" i="48"/>
  <c r="I9" i="48"/>
  <c r="H9" i="48"/>
  <c r="G9" i="48"/>
  <c r="C9" i="48"/>
  <c r="O8" i="48"/>
  <c r="N8" i="48"/>
  <c r="M8" i="48"/>
  <c r="I8" i="48"/>
  <c r="H8" i="48"/>
  <c r="G8" i="48"/>
  <c r="C8" i="48"/>
  <c r="C7" i="48"/>
  <c r="C5" i="48"/>
  <c r="H44" i="47"/>
  <c r="N39" i="47"/>
  <c r="M39" i="47"/>
  <c r="L39" i="47"/>
  <c r="H39" i="47"/>
  <c r="G39" i="47"/>
  <c r="F39" i="47"/>
  <c r="N38" i="47"/>
  <c r="M38" i="47"/>
  <c r="L38" i="47"/>
  <c r="H38" i="47"/>
  <c r="G38" i="47"/>
  <c r="F38" i="47"/>
  <c r="N37" i="47"/>
  <c r="M37" i="47"/>
  <c r="L37" i="47"/>
  <c r="H37" i="47"/>
  <c r="G37" i="47"/>
  <c r="F37" i="47"/>
  <c r="N36" i="47"/>
  <c r="M36" i="47"/>
  <c r="L36" i="47"/>
  <c r="H36" i="47"/>
  <c r="G36" i="47"/>
  <c r="F36" i="47"/>
  <c r="N35" i="47"/>
  <c r="M35" i="47"/>
  <c r="L35" i="47"/>
  <c r="H35" i="47"/>
  <c r="G35" i="47"/>
  <c r="F35" i="47"/>
  <c r="N34" i="47"/>
  <c r="M34" i="47"/>
  <c r="L34" i="47"/>
  <c r="H34" i="47"/>
  <c r="G34" i="47"/>
  <c r="F34" i="47"/>
  <c r="N25" i="47"/>
  <c r="M25" i="47"/>
  <c r="L25" i="47"/>
  <c r="H25" i="47"/>
  <c r="G25" i="47"/>
  <c r="F25" i="47"/>
  <c r="N24" i="47"/>
  <c r="M24" i="47"/>
  <c r="L24" i="47"/>
  <c r="H24" i="47"/>
  <c r="G24" i="47"/>
  <c r="F24" i="47"/>
  <c r="N23" i="47"/>
  <c r="M23" i="47"/>
  <c r="L23" i="47"/>
  <c r="H23" i="47"/>
  <c r="G23" i="47"/>
  <c r="F23" i="47"/>
  <c r="D16" i="47"/>
  <c r="G33" i="46" s="1"/>
  <c r="N14" i="47"/>
  <c r="M14" i="47"/>
  <c r="L14" i="47"/>
  <c r="H14" i="47"/>
  <c r="G14" i="47"/>
  <c r="F14" i="47"/>
  <c r="N13" i="47"/>
  <c r="M13" i="47"/>
  <c r="L13" i="47"/>
  <c r="H13" i="47"/>
  <c r="G13" i="47"/>
  <c r="F13" i="47"/>
  <c r="N12" i="47"/>
  <c r="M12" i="47"/>
  <c r="L12" i="47"/>
  <c r="H12" i="47"/>
  <c r="G12" i="47"/>
  <c r="F12" i="47"/>
  <c r="N11" i="47"/>
  <c r="M11" i="47"/>
  <c r="L11" i="47"/>
  <c r="H11" i="47"/>
  <c r="G11" i="47"/>
  <c r="F11" i="47"/>
  <c r="C11" i="47"/>
  <c r="N10" i="47"/>
  <c r="M10" i="47"/>
  <c r="L10" i="47"/>
  <c r="H10" i="47"/>
  <c r="G10" i="47"/>
  <c r="F10" i="47"/>
  <c r="N9" i="47"/>
  <c r="M9" i="47"/>
  <c r="L9" i="47"/>
  <c r="H9" i="47"/>
  <c r="G9" i="47"/>
  <c r="F9" i="47"/>
  <c r="C9" i="47"/>
  <c r="N8" i="47"/>
  <c r="M8" i="47"/>
  <c r="L8" i="47"/>
  <c r="H8" i="47"/>
  <c r="G8" i="47"/>
  <c r="F8" i="47"/>
  <c r="C8" i="47"/>
  <c r="C7" i="47"/>
  <c r="C6" i="47"/>
  <c r="C5" i="47"/>
  <c r="C3" i="47"/>
  <c r="B4" i="44"/>
  <c r="AI5" i="44" s="1"/>
  <c r="B3" i="44"/>
  <c r="B7" i="44"/>
  <c r="L29" i="44"/>
  <c r="K29" i="44"/>
  <c r="J29" i="44"/>
  <c r="F29" i="44"/>
  <c r="E29" i="44"/>
  <c r="D29" i="44"/>
  <c r="L28" i="44"/>
  <c r="K28" i="44"/>
  <c r="J28" i="44"/>
  <c r="F28" i="44"/>
  <c r="E28" i="44"/>
  <c r="D28" i="44"/>
  <c r="L27" i="44"/>
  <c r="K27" i="44"/>
  <c r="J27" i="44"/>
  <c r="F27" i="44"/>
  <c r="E27" i="44"/>
  <c r="D27" i="44"/>
  <c r="L26" i="44"/>
  <c r="K26" i="44"/>
  <c r="J26" i="44"/>
  <c r="F26" i="44"/>
  <c r="E26" i="44"/>
  <c r="D26" i="44"/>
  <c r="L25" i="44"/>
  <c r="K25" i="44"/>
  <c r="J25" i="44"/>
  <c r="F25" i="44"/>
  <c r="E25" i="44"/>
  <c r="D25" i="44"/>
  <c r="L24" i="44"/>
  <c r="K24" i="44"/>
  <c r="J24" i="44"/>
  <c r="F24" i="44"/>
  <c r="E24" i="44"/>
  <c r="D24" i="44"/>
  <c r="L14" i="44"/>
  <c r="K14" i="44"/>
  <c r="J14" i="44"/>
  <c r="F14" i="44"/>
  <c r="E14" i="44"/>
  <c r="D14" i="44"/>
  <c r="L13" i="44"/>
  <c r="K13" i="44"/>
  <c r="J13" i="44"/>
  <c r="F13" i="44"/>
  <c r="E13" i="44"/>
  <c r="D13" i="44"/>
  <c r="L12" i="44"/>
  <c r="K12" i="44"/>
  <c r="J12" i="44"/>
  <c r="F12" i="44"/>
  <c r="E12" i="44"/>
  <c r="D12" i="44"/>
  <c r="L11" i="44"/>
  <c r="K11" i="44"/>
  <c r="J11" i="44"/>
  <c r="F11" i="44"/>
  <c r="E11" i="44"/>
  <c r="D11" i="44"/>
  <c r="L10" i="44"/>
  <c r="K10" i="44"/>
  <c r="J10" i="44"/>
  <c r="F10" i="44"/>
  <c r="E10" i="44"/>
  <c r="D10" i="44"/>
  <c r="L9" i="44"/>
  <c r="K9" i="44"/>
  <c r="J9" i="44"/>
  <c r="F9" i="44"/>
  <c r="E9" i="44"/>
  <c r="D9" i="44"/>
  <c r="L8" i="44"/>
  <c r="K8" i="44"/>
  <c r="J8" i="44"/>
  <c r="F8" i="44"/>
  <c r="E8" i="44"/>
  <c r="D8" i="44"/>
  <c r="C6" i="53" l="1"/>
  <c r="C12" i="53" s="1"/>
  <c r="C6" i="51"/>
  <c r="C12" i="51" s="1"/>
  <c r="C45" i="52"/>
  <c r="C6" i="52"/>
  <c r="C12" i="52" s="1"/>
  <c r="C25" i="52" s="1"/>
  <c r="C6" i="30"/>
  <c r="C6" i="28"/>
  <c r="C4" i="47"/>
  <c r="C10" i="47" s="1"/>
  <c r="I7" i="47" s="1"/>
  <c r="C6" i="48"/>
  <c r="C12" i="48" s="1"/>
  <c r="J7" i="48" s="1"/>
  <c r="C4" i="49"/>
  <c r="C10" i="49" s="1"/>
  <c r="I7" i="49" s="1"/>
  <c r="C38" i="50"/>
  <c r="C7" i="50"/>
  <c r="C13" i="50" s="1"/>
  <c r="AS9" i="44"/>
  <c r="AU9" i="44" s="1"/>
  <c r="AT4" i="44"/>
  <c r="AN15" i="44"/>
  <c r="AT9" i="44"/>
  <c r="AS5" i="44"/>
  <c r="AU5" i="44" s="1"/>
  <c r="AT10" i="44"/>
  <c r="AN3" i="44"/>
  <c r="AS7" i="44"/>
  <c r="AU7" i="44" s="1"/>
  <c r="AN12" i="44"/>
  <c r="AT15" i="44"/>
  <c r="AN13" i="44"/>
  <c r="AN5" i="44"/>
  <c r="AN10" i="44"/>
  <c r="AS10" i="44"/>
  <c r="AU10" i="44" s="1"/>
  <c r="AN7" i="44"/>
  <c r="AO3" i="44"/>
  <c r="AO4" i="44" s="1"/>
  <c r="AO5" i="44" s="1"/>
  <c r="AO6" i="44" s="1"/>
  <c r="AO7" i="44" s="1"/>
  <c r="AO8" i="44" s="1"/>
  <c r="AO9" i="44" s="1"/>
  <c r="AO10" i="44" s="1"/>
  <c r="AO11" i="44" s="1"/>
  <c r="AO12" i="44" s="1"/>
  <c r="AO13" i="44" s="1"/>
  <c r="AO14" i="44" s="1"/>
  <c r="AO15" i="44" s="1"/>
  <c r="AO16" i="44" s="1"/>
  <c r="AO17" i="44" s="1"/>
  <c r="AO18" i="44" s="1"/>
  <c r="AO19" i="44" s="1"/>
  <c r="AO20" i="44" s="1"/>
  <c r="AO21" i="44" s="1"/>
  <c r="AO22" i="44" s="1"/>
  <c r="AT7" i="44"/>
  <c r="AS12" i="44"/>
  <c r="AU12" i="44" s="1"/>
  <c r="AN16" i="44"/>
  <c r="AS13" i="44"/>
  <c r="AU13" i="44" s="1"/>
  <c r="AT14" i="44"/>
  <c r="AT6" i="44"/>
  <c r="AS15" i="44"/>
  <c r="AU15" i="44" s="1"/>
  <c r="AS4" i="44"/>
  <c r="AU4" i="44" s="1"/>
  <c r="AN8" i="44"/>
  <c r="AT12" i="44"/>
  <c r="AS3" i="44"/>
  <c r="AU3" i="44" s="1"/>
  <c r="AT5" i="44"/>
  <c r="AS8" i="44"/>
  <c r="AU8" i="44" s="1"/>
  <c r="AN11" i="44"/>
  <c r="AT13" i="44"/>
  <c r="AS16" i="44"/>
  <c r="AU16" i="44" s="1"/>
  <c r="AT3" i="44"/>
  <c r="AN6" i="44"/>
  <c r="AT8" i="44"/>
  <c r="AS11" i="44"/>
  <c r="AU11" i="44" s="1"/>
  <c r="AN14" i="44"/>
  <c r="AT16" i="44"/>
  <c r="AN4" i="44"/>
  <c r="AS6" i="44"/>
  <c r="AU6" i="44" s="1"/>
  <c r="AN9" i="44"/>
  <c r="AT11" i="44"/>
  <c r="AS14" i="44"/>
  <c r="AU14" i="44" s="1"/>
  <c r="AT17" i="44"/>
  <c r="AS17" i="44"/>
  <c r="AU17" i="44" s="1"/>
  <c r="AN17" i="44"/>
  <c r="AL18" i="44"/>
  <c r="R11" i="44"/>
  <c r="R37" i="44"/>
  <c r="R57" i="44"/>
  <c r="R41" i="44"/>
  <c r="R27" i="44"/>
  <c r="W7" i="44"/>
  <c r="Y7" i="44" s="1"/>
  <c r="AH7" i="44"/>
  <c r="AJ7" i="44" s="1"/>
  <c r="AC16" i="44"/>
  <c r="R56" i="44"/>
  <c r="R40" i="44"/>
  <c r="R24" i="44"/>
  <c r="R10" i="44"/>
  <c r="X4" i="44"/>
  <c r="AC8" i="44"/>
  <c r="R68" i="44"/>
  <c r="R52" i="44"/>
  <c r="R36" i="44"/>
  <c r="R21" i="44"/>
  <c r="R9" i="44"/>
  <c r="X3" i="44"/>
  <c r="AC10" i="44"/>
  <c r="AI16" i="44"/>
  <c r="R67" i="44"/>
  <c r="R33" i="44"/>
  <c r="R8" i="44"/>
  <c r="R66" i="44"/>
  <c r="R50" i="44"/>
  <c r="R32" i="44"/>
  <c r="R19" i="44"/>
  <c r="R5" i="44"/>
  <c r="AC3" i="44"/>
  <c r="AC11" i="44"/>
  <c r="AI11" i="44"/>
  <c r="R65" i="44"/>
  <c r="R44" i="44"/>
  <c r="R30" i="44"/>
  <c r="R18" i="44"/>
  <c r="AH3" i="44"/>
  <c r="AJ3" i="44" s="1"/>
  <c r="AC14" i="44"/>
  <c r="AI9" i="44"/>
  <c r="R51" i="44"/>
  <c r="R20" i="44"/>
  <c r="S3" i="44"/>
  <c r="S4" i="44" s="1"/>
  <c r="S5" i="44" s="1"/>
  <c r="S6" i="44" s="1"/>
  <c r="S7" i="44" s="1"/>
  <c r="S8" i="44" s="1"/>
  <c r="AI12" i="44"/>
  <c r="R64" i="44"/>
  <c r="R43" i="44"/>
  <c r="R29" i="44"/>
  <c r="R17" i="44"/>
  <c r="AC4" i="44"/>
  <c r="AI8" i="44"/>
  <c r="R58" i="44"/>
  <c r="R42" i="44"/>
  <c r="R28" i="44"/>
  <c r="R12" i="44"/>
  <c r="AC7" i="44"/>
  <c r="AC15" i="44"/>
  <c r="AI10" i="44"/>
  <c r="W6" i="44"/>
  <c r="Y6" i="44" s="1"/>
  <c r="R60" i="44"/>
  <c r="R49" i="44"/>
  <c r="R35" i="44"/>
  <c r="R26" i="44"/>
  <c r="R16" i="44"/>
  <c r="R4" i="44"/>
  <c r="W5" i="44"/>
  <c r="Y5" i="44" s="1"/>
  <c r="X6" i="44"/>
  <c r="AC6" i="44"/>
  <c r="AI4" i="44"/>
  <c r="R59" i="44"/>
  <c r="R48" i="44"/>
  <c r="R34" i="44"/>
  <c r="R25" i="44"/>
  <c r="R13" i="44"/>
  <c r="R3" i="44"/>
  <c r="X5" i="44"/>
  <c r="AH6" i="44"/>
  <c r="AJ6" i="44" s="1"/>
  <c r="AC12" i="44"/>
  <c r="AI17" i="44"/>
  <c r="AD3" i="44"/>
  <c r="AD4" i="44" s="1"/>
  <c r="AD5" i="44" s="1"/>
  <c r="AD6" i="44" s="1"/>
  <c r="AD7" i="44" s="1"/>
  <c r="AD8" i="44" s="1"/>
  <c r="R63" i="44"/>
  <c r="R55" i="44"/>
  <c r="R47" i="44"/>
  <c r="R39" i="44"/>
  <c r="R31" i="44"/>
  <c r="R23" i="44"/>
  <c r="R15" i="44"/>
  <c r="R7" i="44"/>
  <c r="W4" i="44"/>
  <c r="Y4" i="44" s="1"/>
  <c r="AH4" i="44"/>
  <c r="AJ4" i="44" s="1"/>
  <c r="AI15" i="44"/>
  <c r="AI7" i="44"/>
  <c r="R62" i="44"/>
  <c r="R54" i="44"/>
  <c r="R46" i="44"/>
  <c r="R38" i="44"/>
  <c r="R22" i="44"/>
  <c r="R14" i="44"/>
  <c r="R6" i="44"/>
  <c r="W3" i="44"/>
  <c r="Y3" i="44" s="1"/>
  <c r="X8" i="44"/>
  <c r="AC5" i="44"/>
  <c r="AC9" i="44"/>
  <c r="AI14" i="44"/>
  <c r="AI6" i="44"/>
  <c r="R61" i="44"/>
  <c r="R53" i="44"/>
  <c r="R45" i="44"/>
  <c r="X7" i="44"/>
  <c r="AH5" i="44"/>
  <c r="AJ5" i="44" s="1"/>
  <c r="AI3" i="44"/>
  <c r="AI13" i="44"/>
  <c r="AA18" i="44"/>
  <c r="AI18" i="44" s="1"/>
  <c r="AC17" i="44"/>
  <c r="C14" i="52"/>
  <c r="J22" i="52" s="1"/>
  <c r="J24" i="52" s="1"/>
  <c r="G45" i="49"/>
  <c r="H45" i="53"/>
  <c r="E14" i="52"/>
  <c r="C12" i="47"/>
  <c r="I22" i="47" s="1"/>
  <c r="C51" i="52"/>
  <c r="C14" i="53"/>
  <c r="J22" i="53" s="1"/>
  <c r="J25" i="53" s="1"/>
  <c r="H45" i="48"/>
  <c r="I46" i="50"/>
  <c r="C53" i="52"/>
  <c r="I45" i="51"/>
  <c r="C15" i="50"/>
  <c r="C14" i="51"/>
  <c r="J22" i="51" s="1"/>
  <c r="J25" i="51" s="1"/>
  <c r="D14" i="52"/>
  <c r="D12" i="52"/>
  <c r="I45" i="52"/>
  <c r="D14" i="51"/>
  <c r="D12" i="51"/>
  <c r="E14" i="51"/>
  <c r="E12" i="51"/>
  <c r="C26" i="51"/>
  <c r="C27" i="51" s="1"/>
  <c r="K22" i="51" s="1"/>
  <c r="P22" i="50"/>
  <c r="J22" i="50"/>
  <c r="C12" i="49"/>
  <c r="C14" i="48"/>
  <c r="J22" i="48" s="1"/>
  <c r="P24" i="48"/>
  <c r="P23" i="48"/>
  <c r="G45" i="47"/>
  <c r="C13" i="28"/>
  <c r="C11" i="35"/>
  <c r="C11" i="36"/>
  <c r="C13" i="24"/>
  <c r="C13" i="30"/>
  <c r="C11" i="10"/>
  <c r="C11" i="31"/>
  <c r="C14" i="22"/>
  <c r="C14" i="32"/>
  <c r="C13" i="6"/>
  <c r="C13" i="33"/>
  <c r="C52" i="26"/>
  <c r="C13" i="26"/>
  <c r="C52" i="34"/>
  <c r="C13" i="34"/>
  <c r="F20" i="14"/>
  <c r="F19" i="14"/>
  <c r="AQ5" i="44" l="1"/>
  <c r="AQ3" i="44"/>
  <c r="AP4" i="44"/>
  <c r="AP5" i="44"/>
  <c r="AP3" i="44"/>
  <c r="AQ4" i="44"/>
  <c r="AQ6" i="44"/>
  <c r="AQ9" i="44"/>
  <c r="AT18" i="44"/>
  <c r="AS18" i="44"/>
  <c r="AU18" i="44" s="1"/>
  <c r="AL19" i="44"/>
  <c r="AN18" i="44"/>
  <c r="AQ7" i="44"/>
  <c r="AP8" i="44"/>
  <c r="AQ8" i="44"/>
  <c r="AP7" i="44"/>
  <c r="AP6" i="44"/>
  <c r="AP9" i="44"/>
  <c r="U3" i="44"/>
  <c r="AE6" i="44"/>
  <c r="AF4" i="44"/>
  <c r="AF3" i="44"/>
  <c r="AF6" i="44"/>
  <c r="AE3" i="44"/>
  <c r="C20" i="47"/>
  <c r="J22" i="47" s="1"/>
  <c r="AE4" i="44"/>
  <c r="AF7" i="44"/>
  <c r="AF5" i="44"/>
  <c r="T3" i="44"/>
  <c r="AE8" i="44"/>
  <c r="AD9" i="44" s="1"/>
  <c r="U4" i="44"/>
  <c r="AF8" i="44"/>
  <c r="AH8" i="44" s="1"/>
  <c r="AJ8" i="44" s="1"/>
  <c r="AE7" i="44"/>
  <c r="AE5" i="44"/>
  <c r="AA19" i="44"/>
  <c r="AI19" i="44" s="1"/>
  <c r="AC18" i="44"/>
  <c r="U5" i="44"/>
  <c r="T4" i="44"/>
  <c r="J25" i="52"/>
  <c r="J23" i="52"/>
  <c r="Q22" i="52"/>
  <c r="Q23" i="52" s="1"/>
  <c r="C54" i="52"/>
  <c r="C15" i="53"/>
  <c r="J33" i="53" s="1"/>
  <c r="E12" i="52"/>
  <c r="E20" i="52" s="1"/>
  <c r="C26" i="52"/>
  <c r="C27" i="52" s="1"/>
  <c r="K22" i="52" s="1"/>
  <c r="R22" i="52" s="1"/>
  <c r="P22" i="53"/>
  <c r="P23" i="53" s="1"/>
  <c r="O28" i="48"/>
  <c r="O22" i="47"/>
  <c r="O23" i="47" s="1"/>
  <c r="J23" i="53"/>
  <c r="K31" i="46"/>
  <c r="J24" i="53"/>
  <c r="J24" i="51"/>
  <c r="J7" i="53"/>
  <c r="J14" i="53" s="1"/>
  <c r="P22" i="51"/>
  <c r="P23" i="51" s="1"/>
  <c r="C13" i="47"/>
  <c r="H45" i="47" s="1"/>
  <c r="J23" i="51"/>
  <c r="J7" i="52"/>
  <c r="J10" i="52" s="1"/>
  <c r="C15" i="52"/>
  <c r="J33" i="52" s="1"/>
  <c r="K7" i="52"/>
  <c r="K9" i="52" s="1"/>
  <c r="C13" i="49"/>
  <c r="I33" i="49" s="1"/>
  <c r="D18" i="52"/>
  <c r="D20" i="52"/>
  <c r="D20" i="51"/>
  <c r="D18" i="51"/>
  <c r="C15" i="51"/>
  <c r="J7" i="51"/>
  <c r="C25" i="51"/>
  <c r="K7" i="51"/>
  <c r="E20" i="51"/>
  <c r="E18" i="51"/>
  <c r="K25" i="51"/>
  <c r="K24" i="51"/>
  <c r="Q22" i="51"/>
  <c r="K23" i="51"/>
  <c r="P25" i="50"/>
  <c r="P23" i="50"/>
  <c r="P24" i="50"/>
  <c r="J25" i="50"/>
  <c r="J24" i="50"/>
  <c r="J23" i="50"/>
  <c r="C44" i="50"/>
  <c r="C46" i="50" s="1"/>
  <c r="J7" i="50"/>
  <c r="C23" i="50" s="1"/>
  <c r="C16" i="50"/>
  <c r="I22" i="49"/>
  <c r="C20" i="49" s="1"/>
  <c r="O22" i="49"/>
  <c r="I11" i="49"/>
  <c r="O7" i="49"/>
  <c r="I13" i="49"/>
  <c r="I8" i="49"/>
  <c r="I10" i="49"/>
  <c r="I14" i="49"/>
  <c r="I9" i="49"/>
  <c r="I12" i="49"/>
  <c r="J23" i="48"/>
  <c r="J25" i="48"/>
  <c r="J24" i="48"/>
  <c r="K22" i="48"/>
  <c r="P7" i="48"/>
  <c r="J11" i="48"/>
  <c r="J9" i="48"/>
  <c r="J14" i="48"/>
  <c r="J12" i="48"/>
  <c r="J10" i="48"/>
  <c r="J8" i="48"/>
  <c r="J13" i="48"/>
  <c r="C15" i="48"/>
  <c r="K7" i="48" s="1"/>
  <c r="I25" i="47"/>
  <c r="I23" i="47"/>
  <c r="I24" i="47"/>
  <c r="I10" i="47"/>
  <c r="I12" i="47"/>
  <c r="I13" i="47"/>
  <c r="I8" i="47"/>
  <c r="I9" i="47"/>
  <c r="I11" i="47"/>
  <c r="O7" i="47"/>
  <c r="I14" i="47"/>
  <c r="I9" i="15"/>
  <c r="K9" i="15"/>
  <c r="J28" i="52" l="1"/>
  <c r="C18" i="52" s="1"/>
  <c r="Q24" i="52"/>
  <c r="Q25" i="52"/>
  <c r="AT19" i="44"/>
  <c r="AS19" i="44"/>
  <c r="AU19" i="44" s="1"/>
  <c r="AL20" i="44"/>
  <c r="AN19" i="44"/>
  <c r="AQ10" i="44"/>
  <c r="AP10" i="44"/>
  <c r="AF9" i="44"/>
  <c r="AH9" i="44" s="1"/>
  <c r="AJ9" i="44" s="1"/>
  <c r="AE9" i="44"/>
  <c r="AD10" i="44" s="1"/>
  <c r="AA20" i="44"/>
  <c r="AI20" i="44" s="1"/>
  <c r="AC19" i="44"/>
  <c r="U6" i="44"/>
  <c r="T5" i="44"/>
  <c r="I45" i="53"/>
  <c r="C22" i="53" s="1"/>
  <c r="E18" i="52"/>
  <c r="C36" i="52" s="1"/>
  <c r="O25" i="47"/>
  <c r="K24" i="52"/>
  <c r="K23" i="52"/>
  <c r="P24" i="51"/>
  <c r="K25" i="52"/>
  <c r="P24" i="53"/>
  <c r="P25" i="53"/>
  <c r="J8" i="53"/>
  <c r="J9" i="53"/>
  <c r="I28" i="53"/>
  <c r="C20" i="53" s="1"/>
  <c r="F29" i="46" s="1"/>
  <c r="J12" i="52"/>
  <c r="K14" i="52"/>
  <c r="J12" i="53"/>
  <c r="I33" i="47"/>
  <c r="I38" i="47" s="1"/>
  <c r="J10" i="53"/>
  <c r="J13" i="52"/>
  <c r="I28" i="51"/>
  <c r="C18" i="51" s="1"/>
  <c r="J14" i="52"/>
  <c r="P25" i="51"/>
  <c r="K13" i="52"/>
  <c r="C61" i="52"/>
  <c r="J45" i="52" s="1"/>
  <c r="C66" i="52" s="1"/>
  <c r="J13" i="53"/>
  <c r="P7" i="53"/>
  <c r="Q22" i="53" s="1"/>
  <c r="Q24" i="53" s="1"/>
  <c r="K12" i="52"/>
  <c r="O24" i="47"/>
  <c r="K11" i="52"/>
  <c r="K22" i="53"/>
  <c r="K24" i="53" s="1"/>
  <c r="K7" i="53"/>
  <c r="K11" i="53" s="1"/>
  <c r="J11" i="53"/>
  <c r="K32" i="46"/>
  <c r="J9" i="52"/>
  <c r="K8" i="52"/>
  <c r="J11" i="52"/>
  <c r="R7" i="52"/>
  <c r="R11" i="52" s="1"/>
  <c r="J8" i="52"/>
  <c r="I28" i="50"/>
  <c r="C18" i="50" s="1"/>
  <c r="K10" i="52"/>
  <c r="Q7" i="52"/>
  <c r="Q12" i="52" s="1"/>
  <c r="J38" i="53"/>
  <c r="J34" i="53"/>
  <c r="J39" i="53"/>
  <c r="K33" i="53"/>
  <c r="J37" i="53"/>
  <c r="J36" i="53"/>
  <c r="P33" i="53"/>
  <c r="J35" i="53"/>
  <c r="R23" i="52"/>
  <c r="R24" i="52"/>
  <c r="R25" i="52"/>
  <c r="J35" i="52"/>
  <c r="J38" i="52"/>
  <c r="J36" i="52"/>
  <c r="Q33" i="52"/>
  <c r="J34" i="52"/>
  <c r="J37" i="52"/>
  <c r="K33" i="52"/>
  <c r="C79" i="52"/>
  <c r="L32" i="46" s="1"/>
  <c r="C39" i="52"/>
  <c r="J28" i="51"/>
  <c r="K29" i="46" s="1"/>
  <c r="K12" i="51"/>
  <c r="K9" i="51"/>
  <c r="Q7" i="51"/>
  <c r="K10" i="51"/>
  <c r="K13" i="51"/>
  <c r="K11" i="51"/>
  <c r="K8" i="51"/>
  <c r="K14" i="51"/>
  <c r="J45" i="51"/>
  <c r="J33" i="51"/>
  <c r="K33" i="51" s="1"/>
  <c r="J14" i="51"/>
  <c r="J12" i="51"/>
  <c r="J10" i="51"/>
  <c r="J8" i="51"/>
  <c r="J9" i="51"/>
  <c r="P7" i="51"/>
  <c r="J13" i="51"/>
  <c r="J11" i="51"/>
  <c r="C36" i="51"/>
  <c r="Q23" i="51"/>
  <c r="Q25" i="51"/>
  <c r="Q24" i="51"/>
  <c r="C39" i="51"/>
  <c r="J33" i="50"/>
  <c r="J13" i="50"/>
  <c r="J8" i="50"/>
  <c r="J12" i="50"/>
  <c r="J14" i="50"/>
  <c r="J9" i="50"/>
  <c r="P7" i="50"/>
  <c r="K7" i="50"/>
  <c r="J10" i="50"/>
  <c r="J11" i="50"/>
  <c r="O28" i="50"/>
  <c r="O24" i="49"/>
  <c r="O23" i="49"/>
  <c r="P22" i="49"/>
  <c r="O25" i="49"/>
  <c r="O12" i="49"/>
  <c r="O14" i="49"/>
  <c r="O9" i="49"/>
  <c r="O11" i="49"/>
  <c r="O10" i="49"/>
  <c r="O13" i="49"/>
  <c r="O8" i="49"/>
  <c r="D10" i="49"/>
  <c r="D14" i="49" s="1"/>
  <c r="J7" i="49"/>
  <c r="I23" i="49"/>
  <c r="I24" i="49"/>
  <c r="I25" i="49"/>
  <c r="J22" i="49"/>
  <c r="C21" i="49"/>
  <c r="I38" i="49"/>
  <c r="I34" i="49"/>
  <c r="I36" i="49"/>
  <c r="O33" i="49"/>
  <c r="I39" i="49"/>
  <c r="I35" i="49"/>
  <c r="J33" i="49"/>
  <c r="I37" i="49"/>
  <c r="H17" i="49"/>
  <c r="H45" i="49"/>
  <c r="Q7" i="48"/>
  <c r="K14" i="48"/>
  <c r="K12" i="48"/>
  <c r="K10" i="48"/>
  <c r="K8" i="48"/>
  <c r="J17" i="48" s="1"/>
  <c r="K13" i="48"/>
  <c r="K9" i="48"/>
  <c r="K11" i="48"/>
  <c r="K23" i="48"/>
  <c r="J28" i="48" s="1"/>
  <c r="K24" i="48"/>
  <c r="K25" i="48"/>
  <c r="I28" i="48"/>
  <c r="I45" i="48"/>
  <c r="J33" i="48"/>
  <c r="P10" i="48"/>
  <c r="P13" i="48"/>
  <c r="P11" i="48"/>
  <c r="P9" i="48"/>
  <c r="P14" i="48"/>
  <c r="P12" i="48"/>
  <c r="P8" i="48"/>
  <c r="Q22" i="48"/>
  <c r="I17" i="48"/>
  <c r="P22" i="47"/>
  <c r="J25" i="47"/>
  <c r="J24" i="47"/>
  <c r="J23" i="47"/>
  <c r="H28" i="47"/>
  <c r="O14" i="47"/>
  <c r="O11" i="47"/>
  <c r="O13" i="47"/>
  <c r="O8" i="47"/>
  <c r="O10" i="47"/>
  <c r="O9" i="47"/>
  <c r="O12" i="47"/>
  <c r="C21" i="47"/>
  <c r="H17" i="47"/>
  <c r="D10" i="47"/>
  <c r="D14" i="47" s="1"/>
  <c r="J7" i="47"/>
  <c r="C4" i="10"/>
  <c r="C7" i="6"/>
  <c r="C23" i="6" s="1"/>
  <c r="D12" i="6" s="1"/>
  <c r="C8" i="6"/>
  <c r="C9" i="6"/>
  <c r="C11" i="6"/>
  <c r="C10" i="6"/>
  <c r="C5" i="10"/>
  <c r="C6" i="10"/>
  <c r="C7" i="10"/>
  <c r="C9" i="10"/>
  <c r="C8" i="10"/>
  <c r="C7" i="28"/>
  <c r="C8" i="28"/>
  <c r="C9" i="28"/>
  <c r="C11" i="28"/>
  <c r="C10" i="28"/>
  <c r="C4" i="35"/>
  <c r="C5" i="35"/>
  <c r="C6" i="35"/>
  <c r="C7" i="35"/>
  <c r="C9" i="35"/>
  <c r="C8" i="35"/>
  <c r="D16" i="35"/>
  <c r="C46" i="26"/>
  <c r="C8" i="32"/>
  <c r="C5" i="36"/>
  <c r="H44" i="36"/>
  <c r="N39" i="36"/>
  <c r="M39" i="36"/>
  <c r="L39" i="36"/>
  <c r="H39" i="36"/>
  <c r="G39" i="36"/>
  <c r="F39" i="36"/>
  <c r="N38" i="36"/>
  <c r="M38" i="36"/>
  <c r="L38" i="36"/>
  <c r="H38" i="36"/>
  <c r="G38" i="36"/>
  <c r="F38" i="36"/>
  <c r="N37" i="36"/>
  <c r="M37" i="36"/>
  <c r="L37" i="36"/>
  <c r="H37" i="36"/>
  <c r="G37" i="36"/>
  <c r="F37" i="36"/>
  <c r="N36" i="36"/>
  <c r="M36" i="36"/>
  <c r="L36" i="36"/>
  <c r="H36" i="36"/>
  <c r="G36" i="36"/>
  <c r="F36" i="36"/>
  <c r="N35" i="36"/>
  <c r="M35" i="36"/>
  <c r="L35" i="36"/>
  <c r="H35" i="36"/>
  <c r="G35" i="36"/>
  <c r="F35" i="36"/>
  <c r="N34" i="36"/>
  <c r="M34" i="36"/>
  <c r="L34" i="36"/>
  <c r="H34" i="36"/>
  <c r="G34" i="36"/>
  <c r="F34" i="36"/>
  <c r="N25" i="36"/>
  <c r="M25" i="36"/>
  <c r="L25" i="36"/>
  <c r="H25" i="36"/>
  <c r="G25" i="36"/>
  <c r="N24" i="36"/>
  <c r="M24" i="36"/>
  <c r="L24" i="36"/>
  <c r="H24" i="36"/>
  <c r="G24" i="36"/>
  <c r="N23" i="36"/>
  <c r="M23" i="36"/>
  <c r="L23" i="36"/>
  <c r="H23" i="36"/>
  <c r="G23" i="36"/>
  <c r="F23" i="36"/>
  <c r="D16" i="36"/>
  <c r="N14" i="36"/>
  <c r="M14" i="36"/>
  <c r="H14" i="36"/>
  <c r="G14" i="36"/>
  <c r="N13" i="36"/>
  <c r="M13" i="36"/>
  <c r="H13" i="36"/>
  <c r="G13" i="36"/>
  <c r="N12" i="36"/>
  <c r="M12" i="36"/>
  <c r="H12" i="36"/>
  <c r="G12" i="36"/>
  <c r="N11" i="36"/>
  <c r="M11" i="36"/>
  <c r="H11" i="36"/>
  <c r="G11" i="36"/>
  <c r="N10" i="36"/>
  <c r="M10" i="36"/>
  <c r="H10" i="36"/>
  <c r="G10" i="36"/>
  <c r="N9" i="36"/>
  <c r="M9" i="36"/>
  <c r="H9" i="36"/>
  <c r="G9" i="36"/>
  <c r="C9" i="36"/>
  <c r="N8" i="36"/>
  <c r="M8" i="36"/>
  <c r="L8" i="36"/>
  <c r="H8" i="36"/>
  <c r="G8" i="36"/>
  <c r="F8" i="36"/>
  <c r="C8" i="36"/>
  <c r="C7" i="36"/>
  <c r="C6" i="36"/>
  <c r="C4" i="36"/>
  <c r="C3" i="36"/>
  <c r="H44" i="35"/>
  <c r="N39" i="35"/>
  <c r="M39" i="35"/>
  <c r="L39" i="35"/>
  <c r="H39" i="35"/>
  <c r="G39" i="35"/>
  <c r="F39" i="35"/>
  <c r="N38" i="35"/>
  <c r="M38" i="35"/>
  <c r="L38" i="35"/>
  <c r="H38" i="35"/>
  <c r="G38" i="35"/>
  <c r="F38" i="35"/>
  <c r="N37" i="35"/>
  <c r="M37" i="35"/>
  <c r="L37" i="35"/>
  <c r="H37" i="35"/>
  <c r="G37" i="35"/>
  <c r="F37" i="35"/>
  <c r="N36" i="35"/>
  <c r="M36" i="35"/>
  <c r="L36" i="35"/>
  <c r="H36" i="35"/>
  <c r="G36" i="35"/>
  <c r="F36" i="35"/>
  <c r="N35" i="35"/>
  <c r="M35" i="35"/>
  <c r="L35" i="35"/>
  <c r="H35" i="35"/>
  <c r="G35" i="35"/>
  <c r="F35" i="35"/>
  <c r="N34" i="35"/>
  <c r="M34" i="35"/>
  <c r="L34" i="35"/>
  <c r="H34" i="35"/>
  <c r="G34" i="35"/>
  <c r="F34" i="35"/>
  <c r="N25" i="35"/>
  <c r="M25" i="35"/>
  <c r="L25" i="35"/>
  <c r="H25" i="35"/>
  <c r="G25" i="35"/>
  <c r="N24" i="35"/>
  <c r="M24" i="35"/>
  <c r="L24" i="35"/>
  <c r="H24" i="35"/>
  <c r="G24" i="35"/>
  <c r="N23" i="35"/>
  <c r="M23" i="35"/>
  <c r="L23" i="35"/>
  <c r="H23" i="35"/>
  <c r="G23" i="35"/>
  <c r="F23" i="35"/>
  <c r="N14" i="35"/>
  <c r="M14" i="35"/>
  <c r="L14" i="35"/>
  <c r="H14" i="35"/>
  <c r="G14" i="35"/>
  <c r="F14" i="35"/>
  <c r="N13" i="35"/>
  <c r="M13" i="35"/>
  <c r="H13" i="35"/>
  <c r="G13" i="35"/>
  <c r="N12" i="35"/>
  <c r="M12" i="35"/>
  <c r="H12" i="35"/>
  <c r="G12" i="35"/>
  <c r="N11" i="35"/>
  <c r="M11" i="35"/>
  <c r="H11" i="35"/>
  <c r="G11" i="35"/>
  <c r="N10" i="35"/>
  <c r="M10" i="35"/>
  <c r="H10" i="35"/>
  <c r="G10" i="35"/>
  <c r="N9" i="35"/>
  <c r="M9" i="35"/>
  <c r="H9" i="35"/>
  <c r="G9" i="35"/>
  <c r="N8" i="35"/>
  <c r="M8" i="35"/>
  <c r="L8" i="35"/>
  <c r="H8" i="35"/>
  <c r="G8" i="35"/>
  <c r="F8" i="35"/>
  <c r="C3" i="35"/>
  <c r="C39" i="22"/>
  <c r="C8" i="22"/>
  <c r="C46" i="34"/>
  <c r="C7" i="34"/>
  <c r="C23" i="34" s="1"/>
  <c r="D12" i="34" s="1"/>
  <c r="C7" i="33"/>
  <c r="C23" i="33" s="1"/>
  <c r="C39" i="32"/>
  <c r="C5" i="31"/>
  <c r="C7" i="30"/>
  <c r="C7" i="26"/>
  <c r="C23" i="26" s="1"/>
  <c r="C7" i="24"/>
  <c r="C3" i="27"/>
  <c r="C50" i="34"/>
  <c r="C49" i="34"/>
  <c r="C53" i="34" s="1"/>
  <c r="C48" i="34"/>
  <c r="C47" i="34"/>
  <c r="C45" i="34"/>
  <c r="J44" i="34"/>
  <c r="C44" i="34"/>
  <c r="P38" i="34"/>
  <c r="O38" i="34"/>
  <c r="N38" i="34"/>
  <c r="I38" i="34"/>
  <c r="H38" i="34"/>
  <c r="G38" i="34"/>
  <c r="P37" i="34"/>
  <c r="O37" i="34"/>
  <c r="N37" i="34"/>
  <c r="I37" i="34"/>
  <c r="H37" i="34"/>
  <c r="G37" i="34"/>
  <c r="P36" i="34"/>
  <c r="O36" i="34"/>
  <c r="N36" i="34"/>
  <c r="I36" i="34"/>
  <c r="H36" i="34"/>
  <c r="G36" i="34"/>
  <c r="P35" i="34"/>
  <c r="O35" i="34"/>
  <c r="N35" i="34"/>
  <c r="I35" i="34"/>
  <c r="H35" i="34"/>
  <c r="G35" i="34"/>
  <c r="P34" i="34"/>
  <c r="O34" i="34"/>
  <c r="N34" i="34"/>
  <c r="I34" i="34"/>
  <c r="H34" i="34"/>
  <c r="G34" i="34"/>
  <c r="P25" i="34"/>
  <c r="O25" i="34"/>
  <c r="N25" i="34"/>
  <c r="I25" i="34"/>
  <c r="H25" i="34"/>
  <c r="P24" i="34"/>
  <c r="O24" i="34"/>
  <c r="N24" i="34"/>
  <c r="I24" i="34"/>
  <c r="H24" i="34"/>
  <c r="P23" i="34"/>
  <c r="O23" i="34"/>
  <c r="N23" i="34"/>
  <c r="I23" i="34"/>
  <c r="H23" i="34"/>
  <c r="G23" i="34"/>
  <c r="D16" i="34"/>
  <c r="P14" i="34"/>
  <c r="O14" i="34"/>
  <c r="I14" i="34"/>
  <c r="H14" i="34"/>
  <c r="P13" i="34"/>
  <c r="O13" i="34"/>
  <c r="I13" i="34"/>
  <c r="H13" i="34"/>
  <c r="C24" i="34"/>
  <c r="E12" i="34" s="1"/>
  <c r="P12" i="34"/>
  <c r="O12" i="34"/>
  <c r="I12" i="34"/>
  <c r="H12" i="34"/>
  <c r="P11" i="34"/>
  <c r="O11" i="34"/>
  <c r="I11" i="34"/>
  <c r="H11" i="34"/>
  <c r="C11" i="34"/>
  <c r="P10" i="34"/>
  <c r="O10" i="34"/>
  <c r="I10" i="34"/>
  <c r="H10" i="34"/>
  <c r="C10" i="34"/>
  <c r="P9" i="34"/>
  <c r="O9" i="34"/>
  <c r="I9" i="34"/>
  <c r="H9" i="34"/>
  <c r="C9" i="34"/>
  <c r="P8" i="34"/>
  <c r="O8" i="34"/>
  <c r="N8" i="34"/>
  <c r="I8" i="34"/>
  <c r="H8" i="34"/>
  <c r="G8" i="34"/>
  <c r="C8" i="34"/>
  <c r="C6" i="34"/>
  <c r="C5" i="34"/>
  <c r="J44" i="33"/>
  <c r="O38" i="33"/>
  <c r="N38" i="33"/>
  <c r="M38" i="33"/>
  <c r="I38" i="33"/>
  <c r="H38" i="33"/>
  <c r="G38" i="33"/>
  <c r="O37" i="33"/>
  <c r="N37" i="33"/>
  <c r="M37" i="33"/>
  <c r="I37" i="33"/>
  <c r="H37" i="33"/>
  <c r="G37" i="33"/>
  <c r="O36" i="33"/>
  <c r="N36" i="33"/>
  <c r="M36" i="33"/>
  <c r="I36" i="33"/>
  <c r="H36" i="33"/>
  <c r="G36" i="33"/>
  <c r="O35" i="33"/>
  <c r="N35" i="33"/>
  <c r="M35" i="33"/>
  <c r="I35" i="33"/>
  <c r="H35" i="33"/>
  <c r="G35" i="33"/>
  <c r="O34" i="33"/>
  <c r="N34" i="33"/>
  <c r="M34" i="33"/>
  <c r="I34" i="33"/>
  <c r="H34" i="33"/>
  <c r="G34" i="33"/>
  <c r="O25" i="33"/>
  <c r="N25" i="33"/>
  <c r="M25" i="33"/>
  <c r="I25" i="33"/>
  <c r="H25" i="33"/>
  <c r="G25" i="33"/>
  <c r="O24" i="33"/>
  <c r="N24" i="33"/>
  <c r="M24" i="33"/>
  <c r="I24" i="33"/>
  <c r="H24" i="33"/>
  <c r="O23" i="33"/>
  <c r="N23" i="33"/>
  <c r="M23" i="33"/>
  <c r="I23" i="33"/>
  <c r="H23" i="33"/>
  <c r="G23" i="33"/>
  <c r="D16" i="33"/>
  <c r="O14" i="33"/>
  <c r="N14" i="33"/>
  <c r="I14" i="33"/>
  <c r="H14" i="33"/>
  <c r="O13" i="33"/>
  <c r="N13" i="33"/>
  <c r="M13" i="33"/>
  <c r="I13" i="33"/>
  <c r="H13" i="33"/>
  <c r="C24" i="33"/>
  <c r="C26" i="33" s="1"/>
  <c r="O12" i="33"/>
  <c r="N12" i="33"/>
  <c r="I12" i="33"/>
  <c r="H12" i="33"/>
  <c r="O11" i="33"/>
  <c r="N11" i="33"/>
  <c r="M11" i="33"/>
  <c r="I11" i="33"/>
  <c r="H11" i="33"/>
  <c r="C11" i="33"/>
  <c r="O10" i="33"/>
  <c r="N10" i="33"/>
  <c r="I10" i="33"/>
  <c r="H10" i="33"/>
  <c r="C10" i="33"/>
  <c r="O9" i="33"/>
  <c r="N9" i="33"/>
  <c r="I9" i="33"/>
  <c r="H9" i="33"/>
  <c r="C9" i="33"/>
  <c r="O8" i="33"/>
  <c r="N8" i="33"/>
  <c r="M8" i="33"/>
  <c r="I8" i="33"/>
  <c r="H8" i="33"/>
  <c r="G8" i="33"/>
  <c r="C8" i="33"/>
  <c r="C6" i="33"/>
  <c r="C5" i="33"/>
  <c r="J45" i="32"/>
  <c r="C40" i="32"/>
  <c r="O39" i="32"/>
  <c r="N39" i="32"/>
  <c r="M39" i="32"/>
  <c r="I39" i="32"/>
  <c r="H39" i="32"/>
  <c r="G39" i="32"/>
  <c r="O38" i="32"/>
  <c r="N38" i="32"/>
  <c r="M38" i="32"/>
  <c r="I38" i="32"/>
  <c r="H38" i="32"/>
  <c r="G38" i="32"/>
  <c r="C38" i="32"/>
  <c r="O37" i="32"/>
  <c r="N37" i="32"/>
  <c r="M37" i="32"/>
  <c r="I37" i="32"/>
  <c r="H37" i="32"/>
  <c r="G37" i="32"/>
  <c r="C37" i="32"/>
  <c r="O36" i="32"/>
  <c r="N36" i="32"/>
  <c r="M36" i="32"/>
  <c r="I36" i="32"/>
  <c r="H36" i="32"/>
  <c r="G36" i="32"/>
  <c r="O35" i="32"/>
  <c r="N35" i="32"/>
  <c r="M35" i="32"/>
  <c r="I35" i="32"/>
  <c r="H35" i="32"/>
  <c r="G35" i="32"/>
  <c r="O34" i="32"/>
  <c r="N34" i="32"/>
  <c r="M34" i="32"/>
  <c r="I34" i="32"/>
  <c r="H34" i="32"/>
  <c r="G34" i="32"/>
  <c r="O25" i="32"/>
  <c r="N25" i="32"/>
  <c r="M25" i="32"/>
  <c r="I25" i="32"/>
  <c r="H25" i="32"/>
  <c r="G25" i="32"/>
  <c r="O24" i="32"/>
  <c r="N24" i="32"/>
  <c r="M24" i="32"/>
  <c r="I24" i="32"/>
  <c r="H24" i="32"/>
  <c r="O23" i="32"/>
  <c r="N23" i="32"/>
  <c r="M23" i="32"/>
  <c r="I23" i="32"/>
  <c r="H23" i="32"/>
  <c r="G23" i="32"/>
  <c r="D19" i="32"/>
  <c r="O14" i="32"/>
  <c r="N14" i="32"/>
  <c r="I14" i="32"/>
  <c r="H14" i="32"/>
  <c r="O13" i="32"/>
  <c r="N13" i="32"/>
  <c r="I13" i="32"/>
  <c r="H13" i="32"/>
  <c r="O12" i="32"/>
  <c r="N12" i="32"/>
  <c r="I12" i="32"/>
  <c r="H12" i="32"/>
  <c r="C12" i="32"/>
  <c r="C43" i="32" s="1"/>
  <c r="O11" i="32"/>
  <c r="N11" i="32"/>
  <c r="I11" i="32"/>
  <c r="H11" i="32"/>
  <c r="C11" i="32"/>
  <c r="C42" i="32" s="1"/>
  <c r="C45" i="32" s="1"/>
  <c r="O10" i="32"/>
  <c r="N10" i="32"/>
  <c r="M10" i="32"/>
  <c r="I10" i="32"/>
  <c r="H10" i="32"/>
  <c r="C10" i="32"/>
  <c r="C41" i="32" s="1"/>
  <c r="O9" i="32"/>
  <c r="N9" i="32"/>
  <c r="I9" i="32"/>
  <c r="H9" i="32"/>
  <c r="C9" i="32"/>
  <c r="O8" i="32"/>
  <c r="N8" i="32"/>
  <c r="M8" i="32"/>
  <c r="I8" i="32"/>
  <c r="H8" i="32"/>
  <c r="G8" i="32"/>
  <c r="C7" i="32"/>
  <c r="C6" i="32"/>
  <c r="H44" i="31"/>
  <c r="N39" i="31"/>
  <c r="M39" i="31"/>
  <c r="L39" i="31"/>
  <c r="H39" i="31"/>
  <c r="G39" i="31"/>
  <c r="F39" i="31"/>
  <c r="N38" i="31"/>
  <c r="M38" i="31"/>
  <c r="L38" i="31"/>
  <c r="H38" i="31"/>
  <c r="G38" i="31"/>
  <c r="F38" i="31"/>
  <c r="N37" i="31"/>
  <c r="M37" i="31"/>
  <c r="L37" i="31"/>
  <c r="H37" i="31"/>
  <c r="G37" i="31"/>
  <c r="F37" i="31"/>
  <c r="N36" i="31"/>
  <c r="M36" i="31"/>
  <c r="L36" i="31"/>
  <c r="H36" i="31"/>
  <c r="G36" i="31"/>
  <c r="F36" i="31"/>
  <c r="N35" i="31"/>
  <c r="M35" i="31"/>
  <c r="L35" i="31"/>
  <c r="H35" i="31"/>
  <c r="G35" i="31"/>
  <c r="F35" i="31"/>
  <c r="N34" i="31"/>
  <c r="M34" i="31"/>
  <c r="L34" i="31"/>
  <c r="H34" i="31"/>
  <c r="G34" i="31"/>
  <c r="F34" i="31"/>
  <c r="N25" i="31"/>
  <c r="M25" i="31"/>
  <c r="L25" i="31"/>
  <c r="H25" i="31"/>
  <c r="G25" i="31"/>
  <c r="N24" i="31"/>
  <c r="M24" i="31"/>
  <c r="L24" i="31"/>
  <c r="H24" i="31"/>
  <c r="G24" i="31"/>
  <c r="N23" i="31"/>
  <c r="M23" i="31"/>
  <c r="L23" i="31"/>
  <c r="H23" i="31"/>
  <c r="G23" i="31"/>
  <c r="F23" i="31"/>
  <c r="D16" i="31"/>
  <c r="N14" i="31"/>
  <c r="M14" i="31"/>
  <c r="H14" i="31"/>
  <c r="G14" i="31"/>
  <c r="N13" i="31"/>
  <c r="M13" i="31"/>
  <c r="H13" i="31"/>
  <c r="G13" i="31"/>
  <c r="F13" i="31"/>
  <c r="N12" i="31"/>
  <c r="M12" i="31"/>
  <c r="H12" i="31"/>
  <c r="G12" i="31"/>
  <c r="N11" i="31"/>
  <c r="M11" i="31"/>
  <c r="L11" i="31"/>
  <c r="H11" i="31"/>
  <c r="G11" i="31"/>
  <c r="N10" i="31"/>
  <c r="M10" i="31"/>
  <c r="H10" i="31"/>
  <c r="G10" i="31"/>
  <c r="N9" i="31"/>
  <c r="M9" i="31"/>
  <c r="H9" i="31"/>
  <c r="G9" i="31"/>
  <c r="C9" i="31"/>
  <c r="N8" i="31"/>
  <c r="M8" i="31"/>
  <c r="L8" i="31"/>
  <c r="H8" i="31"/>
  <c r="G8" i="31"/>
  <c r="F8" i="31"/>
  <c r="C8" i="31"/>
  <c r="C7" i="31"/>
  <c r="C6" i="31"/>
  <c r="C4" i="31"/>
  <c r="C3" i="31"/>
  <c r="I44" i="30"/>
  <c r="O39" i="30"/>
  <c r="N39" i="30"/>
  <c r="M39" i="30"/>
  <c r="I39" i="30"/>
  <c r="H39" i="30"/>
  <c r="G39" i="30"/>
  <c r="O38" i="30"/>
  <c r="N38" i="30"/>
  <c r="M38" i="30"/>
  <c r="I38" i="30"/>
  <c r="H38" i="30"/>
  <c r="G38" i="30"/>
  <c r="O37" i="30"/>
  <c r="N37" i="30"/>
  <c r="M37" i="30"/>
  <c r="I37" i="30"/>
  <c r="H37" i="30"/>
  <c r="G37" i="30"/>
  <c r="O36" i="30"/>
  <c r="N36" i="30"/>
  <c r="M36" i="30"/>
  <c r="I36" i="30"/>
  <c r="H36" i="30"/>
  <c r="G36" i="30"/>
  <c r="O35" i="30"/>
  <c r="N35" i="30"/>
  <c r="M35" i="30"/>
  <c r="I35" i="30"/>
  <c r="H35" i="30"/>
  <c r="G35" i="30"/>
  <c r="O34" i="30"/>
  <c r="N34" i="30"/>
  <c r="M34" i="30"/>
  <c r="I34" i="30"/>
  <c r="H34" i="30"/>
  <c r="G34" i="30"/>
  <c r="O25" i="30"/>
  <c r="N25" i="30"/>
  <c r="M25" i="30"/>
  <c r="I25" i="30"/>
  <c r="H25" i="30"/>
  <c r="O24" i="30"/>
  <c r="N24" i="30"/>
  <c r="M24" i="30"/>
  <c r="I24" i="30"/>
  <c r="H24" i="30"/>
  <c r="O23" i="30"/>
  <c r="N23" i="30"/>
  <c r="M23" i="30"/>
  <c r="I23" i="30"/>
  <c r="H23" i="30"/>
  <c r="G23" i="30"/>
  <c r="O14" i="30"/>
  <c r="N14" i="30"/>
  <c r="I14" i="30"/>
  <c r="H14" i="30"/>
  <c r="O13" i="30"/>
  <c r="N13" i="30"/>
  <c r="I13" i="30"/>
  <c r="H13" i="30"/>
  <c r="O12" i="30"/>
  <c r="N12" i="30"/>
  <c r="I12" i="30"/>
  <c r="H12" i="30"/>
  <c r="O11" i="30"/>
  <c r="N11" i="30"/>
  <c r="M11" i="30"/>
  <c r="I11" i="30"/>
  <c r="H11" i="30"/>
  <c r="C11" i="30"/>
  <c r="O10" i="30"/>
  <c r="N10" i="30"/>
  <c r="I10" i="30"/>
  <c r="H10" i="30"/>
  <c r="C10" i="30"/>
  <c r="O9" i="30"/>
  <c r="N9" i="30"/>
  <c r="I9" i="30"/>
  <c r="H9" i="30"/>
  <c r="C9" i="30"/>
  <c r="O8" i="30"/>
  <c r="N8" i="30"/>
  <c r="M8" i="30"/>
  <c r="I8" i="30"/>
  <c r="H8" i="30"/>
  <c r="G8" i="30"/>
  <c r="C8" i="30"/>
  <c r="C5" i="30"/>
  <c r="I44" i="28"/>
  <c r="O39" i="28"/>
  <c r="N39" i="28"/>
  <c r="M39" i="28"/>
  <c r="I39" i="28"/>
  <c r="H39" i="28"/>
  <c r="G39" i="28"/>
  <c r="O38" i="28"/>
  <c r="N38" i="28"/>
  <c r="M38" i="28"/>
  <c r="I38" i="28"/>
  <c r="H38" i="28"/>
  <c r="G38" i="28"/>
  <c r="O37" i="28"/>
  <c r="N37" i="28"/>
  <c r="M37" i="28"/>
  <c r="I37" i="28"/>
  <c r="H37" i="28"/>
  <c r="G37" i="28"/>
  <c r="O36" i="28"/>
  <c r="N36" i="28"/>
  <c r="M36" i="28"/>
  <c r="I36" i="28"/>
  <c r="H36" i="28"/>
  <c r="G36" i="28"/>
  <c r="O35" i="28"/>
  <c r="N35" i="28"/>
  <c r="M35" i="28"/>
  <c r="I35" i="28"/>
  <c r="H35" i="28"/>
  <c r="G35" i="28"/>
  <c r="O34" i="28"/>
  <c r="N34" i="28"/>
  <c r="M34" i="28"/>
  <c r="I34" i="28"/>
  <c r="H34" i="28"/>
  <c r="G34" i="28"/>
  <c r="O25" i="28"/>
  <c r="N25" i="28"/>
  <c r="M25" i="28"/>
  <c r="I25" i="28"/>
  <c r="H25" i="28"/>
  <c r="G25" i="28"/>
  <c r="O24" i="28"/>
  <c r="N24" i="28"/>
  <c r="M24" i="28"/>
  <c r="I24" i="28"/>
  <c r="H24" i="28"/>
  <c r="O23" i="28"/>
  <c r="N23" i="28"/>
  <c r="M23" i="28"/>
  <c r="I23" i="28"/>
  <c r="H23" i="28"/>
  <c r="G23" i="28"/>
  <c r="O14" i="28"/>
  <c r="N14" i="28"/>
  <c r="I14" i="28"/>
  <c r="H14" i="28"/>
  <c r="G14" i="28"/>
  <c r="O13" i="28"/>
  <c r="N13" i="28"/>
  <c r="I13" i="28"/>
  <c r="H13" i="28"/>
  <c r="O12" i="28"/>
  <c r="N12" i="28"/>
  <c r="I12" i="28"/>
  <c r="H12" i="28"/>
  <c r="O11" i="28"/>
  <c r="N11" i="28"/>
  <c r="I11" i="28"/>
  <c r="H11" i="28"/>
  <c r="O10" i="28"/>
  <c r="N10" i="28"/>
  <c r="I10" i="28"/>
  <c r="H10" i="28"/>
  <c r="O9" i="28"/>
  <c r="N9" i="28"/>
  <c r="I9" i="28"/>
  <c r="H9" i="28"/>
  <c r="O8" i="28"/>
  <c r="N8" i="28"/>
  <c r="M8" i="28"/>
  <c r="I8" i="28"/>
  <c r="H8" i="28"/>
  <c r="G8" i="28"/>
  <c r="C5" i="28"/>
  <c r="C6" i="27"/>
  <c r="C10" i="27" s="1"/>
  <c r="N12" i="27"/>
  <c r="M12" i="27"/>
  <c r="G12" i="27"/>
  <c r="F12" i="27"/>
  <c r="N11" i="27"/>
  <c r="M11" i="27"/>
  <c r="G11" i="27"/>
  <c r="F11" i="27"/>
  <c r="E11" i="27"/>
  <c r="N10" i="27"/>
  <c r="M10" i="27"/>
  <c r="G10" i="27"/>
  <c r="F10" i="27"/>
  <c r="N9" i="27"/>
  <c r="M9" i="27"/>
  <c r="G9" i="27"/>
  <c r="F9" i="27"/>
  <c r="N8" i="27"/>
  <c r="M8" i="27"/>
  <c r="G8" i="27"/>
  <c r="F8" i="27"/>
  <c r="N7" i="27"/>
  <c r="M7" i="27"/>
  <c r="L7" i="27"/>
  <c r="G7" i="27"/>
  <c r="F7" i="27"/>
  <c r="N6" i="27"/>
  <c r="M6" i="27"/>
  <c r="L6" i="27"/>
  <c r="G6" i="27"/>
  <c r="F6" i="27"/>
  <c r="E6" i="27"/>
  <c r="C2" i="27"/>
  <c r="L9" i="15"/>
  <c r="C50" i="26"/>
  <c r="C49" i="26"/>
  <c r="C48" i="26"/>
  <c r="C45" i="26"/>
  <c r="C47" i="26"/>
  <c r="C44" i="26"/>
  <c r="J44" i="26"/>
  <c r="P38" i="26"/>
  <c r="O38" i="26"/>
  <c r="N38" i="26"/>
  <c r="I38" i="26"/>
  <c r="H38" i="26"/>
  <c r="G38" i="26"/>
  <c r="P37" i="26"/>
  <c r="O37" i="26"/>
  <c r="N37" i="26"/>
  <c r="I37" i="26"/>
  <c r="H37" i="26"/>
  <c r="G37" i="26"/>
  <c r="P36" i="26"/>
  <c r="O36" i="26"/>
  <c r="N36" i="26"/>
  <c r="I36" i="26"/>
  <c r="H36" i="26"/>
  <c r="G36" i="26"/>
  <c r="P35" i="26"/>
  <c r="O35" i="26"/>
  <c r="N35" i="26"/>
  <c r="I35" i="26"/>
  <c r="H35" i="26"/>
  <c r="G35" i="26"/>
  <c r="P34" i="26"/>
  <c r="O34" i="26"/>
  <c r="N34" i="26"/>
  <c r="I34" i="26"/>
  <c r="H34" i="26"/>
  <c r="G34" i="26"/>
  <c r="P25" i="26"/>
  <c r="O25" i="26"/>
  <c r="N25" i="26"/>
  <c r="I25" i="26"/>
  <c r="H25" i="26"/>
  <c r="P24" i="26"/>
  <c r="O24" i="26"/>
  <c r="N24" i="26"/>
  <c r="I24" i="26"/>
  <c r="H24" i="26"/>
  <c r="P23" i="26"/>
  <c r="O23" i="26"/>
  <c r="N23" i="26"/>
  <c r="I23" i="26"/>
  <c r="H23" i="26"/>
  <c r="G23" i="26"/>
  <c r="D16" i="26"/>
  <c r="P14" i="26"/>
  <c r="O14" i="26"/>
  <c r="I14" i="26"/>
  <c r="H14" i="26"/>
  <c r="P13" i="26"/>
  <c r="O13" i="26"/>
  <c r="I13" i="26"/>
  <c r="H13" i="26"/>
  <c r="P12" i="26"/>
  <c r="O12" i="26"/>
  <c r="I12" i="26"/>
  <c r="H12" i="26"/>
  <c r="P11" i="26"/>
  <c r="O11" i="26"/>
  <c r="I11" i="26"/>
  <c r="H11" i="26"/>
  <c r="C11" i="26"/>
  <c r="P10" i="26"/>
  <c r="O10" i="26"/>
  <c r="I10" i="26"/>
  <c r="H10" i="26"/>
  <c r="C10" i="26"/>
  <c r="P9" i="26"/>
  <c r="O9" i="26"/>
  <c r="I9" i="26"/>
  <c r="H9" i="26"/>
  <c r="G9" i="26"/>
  <c r="C9" i="26"/>
  <c r="P8" i="26"/>
  <c r="O8" i="26"/>
  <c r="N8" i="26"/>
  <c r="I8" i="26"/>
  <c r="H8" i="26"/>
  <c r="G8" i="26"/>
  <c r="C8" i="26"/>
  <c r="C6" i="26"/>
  <c r="C5" i="26"/>
  <c r="J44" i="6"/>
  <c r="J45" i="22"/>
  <c r="C11" i="22"/>
  <c r="C42" i="22" s="1"/>
  <c r="C12" i="22"/>
  <c r="C43" i="22" s="1"/>
  <c r="C10" i="22"/>
  <c r="C41" i="22" s="1"/>
  <c r="H44" i="10"/>
  <c r="C11" i="24"/>
  <c r="C10" i="24"/>
  <c r="C9" i="24"/>
  <c r="P22" i="24"/>
  <c r="P25" i="24" s="1"/>
  <c r="I44" i="24"/>
  <c r="G25" i="10"/>
  <c r="J9" i="15"/>
  <c r="O39" i="24"/>
  <c r="N39" i="24"/>
  <c r="M39" i="24"/>
  <c r="I39" i="24"/>
  <c r="H39" i="24"/>
  <c r="G39" i="24"/>
  <c r="O38" i="24"/>
  <c r="N38" i="24"/>
  <c r="M38" i="24"/>
  <c r="I38" i="24"/>
  <c r="H38" i="24"/>
  <c r="G38" i="24"/>
  <c r="O37" i="24"/>
  <c r="N37" i="24"/>
  <c r="M37" i="24"/>
  <c r="I37" i="24"/>
  <c r="H37" i="24"/>
  <c r="G37" i="24"/>
  <c r="C8" i="24"/>
  <c r="O36" i="24"/>
  <c r="N36" i="24"/>
  <c r="M36" i="24"/>
  <c r="I36" i="24"/>
  <c r="H36" i="24"/>
  <c r="G36" i="24"/>
  <c r="O35" i="24"/>
  <c r="N35" i="24"/>
  <c r="M35" i="24"/>
  <c r="I35" i="24"/>
  <c r="H35" i="24"/>
  <c r="G35" i="24"/>
  <c r="C6" i="24"/>
  <c r="O34" i="24"/>
  <c r="N34" i="24"/>
  <c r="M34" i="24"/>
  <c r="I34" i="24"/>
  <c r="H34" i="24"/>
  <c r="G34" i="24"/>
  <c r="C5" i="24"/>
  <c r="O25" i="24"/>
  <c r="N25" i="24"/>
  <c r="M25" i="24"/>
  <c r="I25" i="24"/>
  <c r="H25" i="24"/>
  <c r="O24" i="24"/>
  <c r="N24" i="24"/>
  <c r="M24" i="24"/>
  <c r="I24" i="24"/>
  <c r="H24" i="24"/>
  <c r="O23" i="24"/>
  <c r="N23" i="24"/>
  <c r="M23" i="24"/>
  <c r="I23" i="24"/>
  <c r="H23" i="24"/>
  <c r="G23" i="24"/>
  <c r="O14" i="24"/>
  <c r="N14" i="24"/>
  <c r="I14" i="24"/>
  <c r="H14" i="24"/>
  <c r="O13" i="24"/>
  <c r="N13" i="24"/>
  <c r="I13" i="24"/>
  <c r="H13" i="24"/>
  <c r="O12" i="24"/>
  <c r="N12" i="24"/>
  <c r="I12" i="24"/>
  <c r="H12" i="24"/>
  <c r="O11" i="24"/>
  <c r="N11" i="24"/>
  <c r="I11" i="24"/>
  <c r="H11" i="24"/>
  <c r="O10" i="24"/>
  <c r="N10" i="24"/>
  <c r="I10" i="24"/>
  <c r="H10" i="24"/>
  <c r="O9" i="24"/>
  <c r="N9" i="24"/>
  <c r="I9" i="24"/>
  <c r="H9" i="24"/>
  <c r="O8" i="24"/>
  <c r="N8" i="24"/>
  <c r="M8" i="24"/>
  <c r="I8" i="24"/>
  <c r="H8" i="24"/>
  <c r="G8" i="24"/>
  <c r="H25" i="22"/>
  <c r="D19" i="22"/>
  <c r="C9" i="22"/>
  <c r="C7" i="22"/>
  <c r="C6" i="22"/>
  <c r="O39" i="22"/>
  <c r="N39" i="22"/>
  <c r="M39" i="22"/>
  <c r="I39" i="22"/>
  <c r="H39" i="22"/>
  <c r="G39" i="22"/>
  <c r="O38" i="22"/>
  <c r="N38" i="22"/>
  <c r="M38" i="22"/>
  <c r="I38" i="22"/>
  <c r="H38" i="22"/>
  <c r="G38" i="22"/>
  <c r="O37" i="22"/>
  <c r="N37" i="22"/>
  <c r="M37" i="22"/>
  <c r="I37" i="22"/>
  <c r="H37" i="22"/>
  <c r="G37" i="22"/>
  <c r="O36" i="22"/>
  <c r="N36" i="22"/>
  <c r="M36" i="22"/>
  <c r="I36" i="22"/>
  <c r="H36" i="22"/>
  <c r="G36" i="22"/>
  <c r="O35" i="22"/>
  <c r="N35" i="22"/>
  <c r="M35" i="22"/>
  <c r="I35" i="22"/>
  <c r="H35" i="22"/>
  <c r="G35" i="22"/>
  <c r="O34" i="22"/>
  <c r="N34" i="22"/>
  <c r="M34" i="22"/>
  <c r="I34" i="22"/>
  <c r="H34" i="22"/>
  <c r="G34" i="22"/>
  <c r="O25" i="22"/>
  <c r="N25" i="22"/>
  <c r="M25" i="22"/>
  <c r="I25" i="22"/>
  <c r="O24" i="22"/>
  <c r="N24" i="22"/>
  <c r="I24" i="22"/>
  <c r="H24" i="22"/>
  <c r="O23" i="22"/>
  <c r="N23" i="22"/>
  <c r="M23" i="22"/>
  <c r="I23" i="22"/>
  <c r="H23" i="22"/>
  <c r="G23" i="22"/>
  <c r="O14" i="22"/>
  <c r="N14" i="22"/>
  <c r="I14" i="22"/>
  <c r="H14" i="22"/>
  <c r="G14" i="22"/>
  <c r="O13" i="22"/>
  <c r="N13" i="22"/>
  <c r="I13" i="22"/>
  <c r="H13" i="22"/>
  <c r="O12" i="22"/>
  <c r="N12" i="22"/>
  <c r="I12" i="22"/>
  <c r="H12" i="22"/>
  <c r="O11" i="22"/>
  <c r="N11" i="22"/>
  <c r="I11" i="22"/>
  <c r="H11" i="22"/>
  <c r="O10" i="22"/>
  <c r="N10" i="22"/>
  <c r="I10" i="22"/>
  <c r="H10" i="22"/>
  <c r="O9" i="22"/>
  <c r="N9" i="22"/>
  <c r="I9" i="22"/>
  <c r="H9" i="22"/>
  <c r="O8" i="22"/>
  <c r="N8" i="22"/>
  <c r="M8" i="22"/>
  <c r="I8" i="22"/>
  <c r="H8" i="22"/>
  <c r="G8" i="22"/>
  <c r="F23" i="10"/>
  <c r="G23" i="10"/>
  <c r="C40" i="22"/>
  <c r="C38" i="22"/>
  <c r="C37" i="22"/>
  <c r="D16" i="10"/>
  <c r="D16" i="6"/>
  <c r="B9" i="14"/>
  <c r="G11" i="30" s="1"/>
  <c r="G24" i="10"/>
  <c r="M24" i="10"/>
  <c r="N24" i="10"/>
  <c r="M25" i="10"/>
  <c r="N25" i="10"/>
  <c r="M23" i="10"/>
  <c r="N23" i="10"/>
  <c r="L23" i="10"/>
  <c r="H24" i="10"/>
  <c r="H25" i="10"/>
  <c r="H23" i="10"/>
  <c r="C5" i="6"/>
  <c r="C3" i="10"/>
  <c r="M24" i="6"/>
  <c r="N24" i="6"/>
  <c r="O24" i="6"/>
  <c r="N25" i="6"/>
  <c r="O25" i="6"/>
  <c r="N23" i="6"/>
  <c r="O23" i="6"/>
  <c r="M23" i="6"/>
  <c r="H24" i="6"/>
  <c r="I24" i="6"/>
  <c r="H25" i="6"/>
  <c r="I25" i="6"/>
  <c r="H23" i="6"/>
  <c r="I23" i="6"/>
  <c r="G23" i="6"/>
  <c r="M25" i="6"/>
  <c r="B20" i="14"/>
  <c r="G25" i="26" s="1"/>
  <c r="M24" i="22"/>
  <c r="B19" i="14"/>
  <c r="O38" i="6"/>
  <c r="M38" i="6"/>
  <c r="I38" i="6"/>
  <c r="G38" i="6"/>
  <c r="O37" i="6"/>
  <c r="M37" i="6"/>
  <c r="I37" i="6"/>
  <c r="G37" i="6"/>
  <c r="O36" i="6"/>
  <c r="M36" i="6"/>
  <c r="I36" i="6"/>
  <c r="G36" i="6"/>
  <c r="O35" i="6"/>
  <c r="M35" i="6"/>
  <c r="I35" i="6"/>
  <c r="G35" i="6"/>
  <c r="O34" i="6"/>
  <c r="M34" i="6"/>
  <c r="I34" i="6"/>
  <c r="G34" i="6"/>
  <c r="N39" i="10"/>
  <c r="M39" i="10"/>
  <c r="L39" i="10"/>
  <c r="H39" i="10"/>
  <c r="G39" i="10"/>
  <c r="F39" i="10"/>
  <c r="N38" i="10"/>
  <c r="L38" i="10"/>
  <c r="H38" i="10"/>
  <c r="F38" i="10"/>
  <c r="N37" i="10"/>
  <c r="L37" i="10"/>
  <c r="H37" i="10"/>
  <c r="F37" i="10"/>
  <c r="N36" i="10"/>
  <c r="L36" i="10"/>
  <c r="H36" i="10"/>
  <c r="F36" i="10"/>
  <c r="N35" i="10"/>
  <c r="L35" i="10"/>
  <c r="H35" i="10"/>
  <c r="F35" i="10"/>
  <c r="N34" i="10"/>
  <c r="L34" i="10"/>
  <c r="H34" i="10"/>
  <c r="F34" i="10"/>
  <c r="O14" i="6"/>
  <c r="N14" i="6"/>
  <c r="I14" i="6"/>
  <c r="H14" i="6"/>
  <c r="O13" i="6"/>
  <c r="N13" i="6"/>
  <c r="I13" i="6"/>
  <c r="H13" i="6"/>
  <c r="O12" i="6"/>
  <c r="N12" i="6"/>
  <c r="I12" i="6"/>
  <c r="H12" i="6"/>
  <c r="O11" i="6"/>
  <c r="N11" i="6"/>
  <c r="I11" i="6"/>
  <c r="H11" i="6"/>
  <c r="O10" i="6"/>
  <c r="N10" i="6"/>
  <c r="I10" i="6"/>
  <c r="H10" i="6"/>
  <c r="O9" i="6"/>
  <c r="N9" i="6"/>
  <c r="I9" i="6"/>
  <c r="H9" i="6"/>
  <c r="O8" i="6"/>
  <c r="N8" i="6"/>
  <c r="M8" i="6"/>
  <c r="I8" i="6"/>
  <c r="H8" i="6"/>
  <c r="G8" i="6"/>
  <c r="N14" i="10"/>
  <c r="M14" i="10"/>
  <c r="H14" i="10"/>
  <c r="G14" i="10"/>
  <c r="N13" i="10"/>
  <c r="M13" i="10"/>
  <c r="H13" i="10"/>
  <c r="G13" i="10"/>
  <c r="N12" i="10"/>
  <c r="M12" i="10"/>
  <c r="H12" i="10"/>
  <c r="G12" i="10"/>
  <c r="N11" i="10"/>
  <c r="M11" i="10"/>
  <c r="H11" i="10"/>
  <c r="G11" i="10"/>
  <c r="N10" i="10"/>
  <c r="M10" i="10"/>
  <c r="H10" i="10"/>
  <c r="G10" i="10"/>
  <c r="N9" i="10"/>
  <c r="M9" i="10"/>
  <c r="H9" i="10"/>
  <c r="G9" i="10"/>
  <c r="N8" i="10"/>
  <c r="M8" i="10"/>
  <c r="L8" i="10"/>
  <c r="H8" i="10"/>
  <c r="G8" i="10"/>
  <c r="F8" i="10"/>
  <c r="N38" i="6"/>
  <c r="H38" i="6"/>
  <c r="M37" i="10"/>
  <c r="N36" i="6"/>
  <c r="H36" i="6"/>
  <c r="H34" i="6"/>
  <c r="F12" i="14"/>
  <c r="L12" i="27" s="1"/>
  <c r="M14" i="22"/>
  <c r="B12" i="14"/>
  <c r="G14" i="24"/>
  <c r="F11" i="14"/>
  <c r="M13" i="32" s="1"/>
  <c r="M13" i="22"/>
  <c r="B11" i="14"/>
  <c r="F10" i="14"/>
  <c r="M12" i="6" s="1"/>
  <c r="B10" i="14"/>
  <c r="G12" i="6" s="1"/>
  <c r="F9" i="14"/>
  <c r="M11" i="32" s="1"/>
  <c r="F8" i="14"/>
  <c r="M10" i="28" s="1"/>
  <c r="B8" i="14"/>
  <c r="G10" i="24" s="1"/>
  <c r="F7" i="14"/>
  <c r="L9" i="31" s="1"/>
  <c r="B7" i="14"/>
  <c r="G9" i="34" s="1"/>
  <c r="G9" i="22"/>
  <c r="H35" i="6"/>
  <c r="M14" i="6"/>
  <c r="G35" i="10"/>
  <c r="G36" i="10"/>
  <c r="G38" i="10"/>
  <c r="G34" i="10"/>
  <c r="H37" i="6"/>
  <c r="N35" i="6"/>
  <c r="N37" i="6"/>
  <c r="M34" i="10"/>
  <c r="M36" i="10"/>
  <c r="M38" i="10"/>
  <c r="G37" i="10"/>
  <c r="N34" i="6"/>
  <c r="M35" i="10"/>
  <c r="G9" i="24"/>
  <c r="G25" i="24"/>
  <c r="L9" i="10"/>
  <c r="M14" i="24"/>
  <c r="G24" i="24"/>
  <c r="G25" i="22"/>
  <c r="M11" i="22"/>
  <c r="G9" i="6"/>
  <c r="L25" i="10"/>
  <c r="L24" i="10"/>
  <c r="F25" i="10"/>
  <c r="F24" i="10"/>
  <c r="G24" i="6"/>
  <c r="Q28" i="52" l="1"/>
  <c r="N28" i="47"/>
  <c r="AT20" i="44"/>
  <c r="AS20" i="44"/>
  <c r="AU20" i="44" s="1"/>
  <c r="AN20" i="44"/>
  <c r="AL21" i="44"/>
  <c r="AQ11" i="44"/>
  <c r="AP11" i="44"/>
  <c r="AF10" i="44"/>
  <c r="AH10" i="44" s="1"/>
  <c r="AJ10" i="44" s="1"/>
  <c r="AE10" i="44"/>
  <c r="AD11" i="44" s="1"/>
  <c r="AA21" i="44"/>
  <c r="AI21" i="44" s="1"/>
  <c r="AC20" i="44"/>
  <c r="U7" i="44"/>
  <c r="T6" i="44"/>
  <c r="I37" i="47"/>
  <c r="O33" i="47"/>
  <c r="O38" i="47" s="1"/>
  <c r="I36" i="47"/>
  <c r="K28" i="52"/>
  <c r="C56" i="52" s="1"/>
  <c r="I35" i="47"/>
  <c r="K25" i="53"/>
  <c r="O28" i="53"/>
  <c r="J33" i="47"/>
  <c r="J36" i="47" s="1"/>
  <c r="I39" i="47"/>
  <c r="O28" i="51"/>
  <c r="Q9" i="52"/>
  <c r="I34" i="47"/>
  <c r="K23" i="53"/>
  <c r="J28" i="53" s="1"/>
  <c r="K28" i="53" s="1"/>
  <c r="Q11" i="52"/>
  <c r="P8" i="53"/>
  <c r="K17" i="52"/>
  <c r="I17" i="53"/>
  <c r="P14" i="53"/>
  <c r="Q13" i="52"/>
  <c r="C62" i="52"/>
  <c r="P10" i="53"/>
  <c r="C31" i="52"/>
  <c r="Q7" i="53"/>
  <c r="Q10" i="53" s="1"/>
  <c r="R12" i="52"/>
  <c r="C19" i="52"/>
  <c r="K9" i="53"/>
  <c r="K12" i="53"/>
  <c r="J17" i="52"/>
  <c r="L22" i="52"/>
  <c r="S22" i="52" s="1"/>
  <c r="S25" i="52" s="1"/>
  <c r="Q25" i="53"/>
  <c r="K13" i="53"/>
  <c r="Q8" i="52"/>
  <c r="P9" i="53"/>
  <c r="K8" i="53"/>
  <c r="J17" i="53" s="1"/>
  <c r="R14" i="52"/>
  <c r="R13" i="52"/>
  <c r="K14" i="53"/>
  <c r="R8" i="52"/>
  <c r="P12" i="53"/>
  <c r="K10" i="53"/>
  <c r="L7" i="52"/>
  <c r="R9" i="52"/>
  <c r="D51" i="52"/>
  <c r="D55" i="52" s="1"/>
  <c r="D59" i="52" s="1"/>
  <c r="C70" i="52" s="1"/>
  <c r="R10" i="52"/>
  <c r="Q10" i="52"/>
  <c r="Q14" i="52"/>
  <c r="P13" i="53"/>
  <c r="Q23" i="53"/>
  <c r="P28" i="53" s="1"/>
  <c r="P11" i="53"/>
  <c r="K28" i="48"/>
  <c r="D18" i="47"/>
  <c r="C29" i="47" s="1"/>
  <c r="G31" i="46"/>
  <c r="I28" i="47"/>
  <c r="D18" i="49"/>
  <c r="C29" i="49" s="1"/>
  <c r="I31" i="46"/>
  <c r="K38" i="53"/>
  <c r="K34" i="53"/>
  <c r="J42" i="53" s="1"/>
  <c r="K37" i="53"/>
  <c r="K39" i="53"/>
  <c r="K36" i="53"/>
  <c r="K35" i="53"/>
  <c r="I42" i="53"/>
  <c r="P36" i="53"/>
  <c r="P37" i="53"/>
  <c r="P39" i="53"/>
  <c r="P35" i="53"/>
  <c r="P38" i="53"/>
  <c r="P34" i="53"/>
  <c r="Q33" i="53"/>
  <c r="I17" i="51"/>
  <c r="R28" i="52"/>
  <c r="G9" i="15"/>
  <c r="G19" i="46"/>
  <c r="H42" i="49"/>
  <c r="I30" i="46" s="1"/>
  <c r="N17" i="49"/>
  <c r="L33" i="52"/>
  <c r="K38" i="52"/>
  <c r="K36" i="52"/>
  <c r="R33" i="52"/>
  <c r="K37" i="52"/>
  <c r="K35" i="52"/>
  <c r="K34" i="52"/>
  <c r="Q36" i="52"/>
  <c r="Q37" i="52"/>
  <c r="Q35" i="52"/>
  <c r="Q38" i="52"/>
  <c r="Q34" i="52"/>
  <c r="J42" i="52"/>
  <c r="P28" i="51"/>
  <c r="J38" i="51"/>
  <c r="P33" i="51"/>
  <c r="J36" i="51"/>
  <c r="J35" i="51"/>
  <c r="J37" i="51"/>
  <c r="J34" i="51"/>
  <c r="C31" i="51"/>
  <c r="C19" i="51"/>
  <c r="Q8" i="51"/>
  <c r="Q14" i="51"/>
  <c r="Q12" i="51"/>
  <c r="Q10" i="51"/>
  <c r="Q9" i="51"/>
  <c r="Q13" i="51"/>
  <c r="Q11" i="51"/>
  <c r="P13" i="51"/>
  <c r="P11" i="51"/>
  <c r="P12" i="51"/>
  <c r="P10" i="51"/>
  <c r="P8" i="51"/>
  <c r="P14" i="51"/>
  <c r="P9" i="51"/>
  <c r="C30" i="51"/>
  <c r="K28" i="51"/>
  <c r="J17" i="51"/>
  <c r="K10" i="50"/>
  <c r="K12" i="50"/>
  <c r="K11" i="50"/>
  <c r="Q7" i="50"/>
  <c r="K13" i="50"/>
  <c r="K8" i="50"/>
  <c r="K14" i="50"/>
  <c r="K9" i="50"/>
  <c r="I17" i="50"/>
  <c r="J35" i="50"/>
  <c r="J38" i="50"/>
  <c r="J36" i="50"/>
  <c r="J39" i="50"/>
  <c r="P33" i="50"/>
  <c r="J37" i="50"/>
  <c r="J34" i="50"/>
  <c r="D13" i="50"/>
  <c r="D17" i="50" s="1"/>
  <c r="D21" i="50" s="1"/>
  <c r="C29" i="50" s="1"/>
  <c r="Q22" i="50"/>
  <c r="K22" i="50"/>
  <c r="C24" i="50"/>
  <c r="P14" i="50"/>
  <c r="P9" i="50"/>
  <c r="P13" i="50"/>
  <c r="P8" i="50"/>
  <c r="P10" i="50"/>
  <c r="P11" i="50"/>
  <c r="P12" i="50"/>
  <c r="J46" i="50"/>
  <c r="O36" i="49"/>
  <c r="O39" i="49"/>
  <c r="O35" i="49"/>
  <c r="O34" i="49"/>
  <c r="P33" i="49"/>
  <c r="O37" i="49"/>
  <c r="O38" i="49"/>
  <c r="H28" i="49"/>
  <c r="J13" i="49"/>
  <c r="J8" i="49"/>
  <c r="J10" i="49"/>
  <c r="J12" i="49"/>
  <c r="J14" i="49"/>
  <c r="J9" i="49"/>
  <c r="J11" i="49"/>
  <c r="P7" i="49"/>
  <c r="C25" i="49"/>
  <c r="N28" i="49"/>
  <c r="C14" i="49"/>
  <c r="P23" i="49"/>
  <c r="P25" i="49"/>
  <c r="P24" i="49"/>
  <c r="J38" i="49"/>
  <c r="J34" i="49"/>
  <c r="J37" i="49"/>
  <c r="J36" i="49"/>
  <c r="J39" i="49"/>
  <c r="J35" i="49"/>
  <c r="J25" i="49"/>
  <c r="J24" i="49"/>
  <c r="J23" i="49"/>
  <c r="K17" i="48"/>
  <c r="J36" i="48"/>
  <c r="J38" i="48"/>
  <c r="J34" i="48"/>
  <c r="J37" i="48"/>
  <c r="J39" i="48"/>
  <c r="J35" i="48"/>
  <c r="P33" i="48"/>
  <c r="O17" i="48"/>
  <c r="E5" i="48" s="1"/>
  <c r="Q23" i="48"/>
  <c r="P28" i="48" s="1"/>
  <c r="Q28" i="48" s="1"/>
  <c r="Q24" i="48"/>
  <c r="Q25" i="48"/>
  <c r="Q13" i="48"/>
  <c r="Q11" i="48"/>
  <c r="Q9" i="48"/>
  <c r="Q8" i="48"/>
  <c r="P17" i="48" s="1"/>
  <c r="Q14" i="48"/>
  <c r="Q12" i="48"/>
  <c r="Q10" i="48"/>
  <c r="C14" i="47"/>
  <c r="C15" i="47"/>
  <c r="N17" i="47"/>
  <c r="J13" i="47"/>
  <c r="J8" i="47"/>
  <c r="J12" i="47"/>
  <c r="J9" i="47"/>
  <c r="J10" i="47"/>
  <c r="J14" i="47"/>
  <c r="J11" i="47"/>
  <c r="P7" i="47"/>
  <c r="P23" i="47"/>
  <c r="P25" i="47"/>
  <c r="P24" i="47"/>
  <c r="I45" i="6"/>
  <c r="C45" i="22"/>
  <c r="J22" i="22" s="1"/>
  <c r="C27" i="33"/>
  <c r="K22" i="33" s="1"/>
  <c r="Q22" i="33" s="1"/>
  <c r="G25" i="34"/>
  <c r="F25" i="35"/>
  <c r="G25" i="6"/>
  <c r="F25" i="31"/>
  <c r="F25" i="36"/>
  <c r="G25" i="30"/>
  <c r="G24" i="30"/>
  <c r="G24" i="28"/>
  <c r="F24" i="36"/>
  <c r="G24" i="32"/>
  <c r="G24" i="22"/>
  <c r="G24" i="34"/>
  <c r="G24" i="26"/>
  <c r="F24" i="31"/>
  <c r="G24" i="33"/>
  <c r="F24" i="35"/>
  <c r="G14" i="26"/>
  <c r="G14" i="32"/>
  <c r="F14" i="31"/>
  <c r="F14" i="10"/>
  <c r="G14" i="30"/>
  <c r="F14" i="36"/>
  <c r="G14" i="6"/>
  <c r="E12" i="27"/>
  <c r="G14" i="33"/>
  <c r="G14" i="34"/>
  <c r="G13" i="22"/>
  <c r="G13" i="24"/>
  <c r="G13" i="32"/>
  <c r="F13" i="35"/>
  <c r="G13" i="30"/>
  <c r="G13" i="28"/>
  <c r="G13" i="26"/>
  <c r="G13" i="33"/>
  <c r="G13" i="6"/>
  <c r="G13" i="34"/>
  <c r="F13" i="10"/>
  <c r="F13" i="36"/>
  <c r="F12" i="10"/>
  <c r="G12" i="33"/>
  <c r="F12" i="36"/>
  <c r="E10" i="27"/>
  <c r="G12" i="26"/>
  <c r="G12" i="24"/>
  <c r="G12" i="30"/>
  <c r="G12" i="34"/>
  <c r="G12" i="28"/>
  <c r="F12" i="31"/>
  <c r="G12" i="32"/>
  <c r="F12" i="35"/>
  <c r="G12" i="22"/>
  <c r="F11" i="10"/>
  <c r="G11" i="6"/>
  <c r="G11" i="22"/>
  <c r="G11" i="28"/>
  <c r="G11" i="24"/>
  <c r="F11" i="31"/>
  <c r="F11" i="35"/>
  <c r="F11" i="36"/>
  <c r="G11" i="32"/>
  <c r="E9" i="27"/>
  <c r="G11" i="26"/>
  <c r="G11" i="34"/>
  <c r="G11" i="33"/>
  <c r="G10" i="28"/>
  <c r="F10" i="10"/>
  <c r="G10" i="26"/>
  <c r="G10" i="34"/>
  <c r="F10" i="31"/>
  <c r="G10" i="33"/>
  <c r="F10" i="36"/>
  <c r="E8" i="27"/>
  <c r="G10" i="32"/>
  <c r="G10" i="30"/>
  <c r="G10" i="6"/>
  <c r="G10" i="22"/>
  <c r="F10" i="35"/>
  <c r="G9" i="32"/>
  <c r="G9" i="33"/>
  <c r="F9" i="35"/>
  <c r="G9" i="30"/>
  <c r="F9" i="36"/>
  <c r="G9" i="28"/>
  <c r="E7" i="27"/>
  <c r="F9" i="10"/>
  <c r="F9" i="31"/>
  <c r="M14" i="30"/>
  <c r="N14" i="34"/>
  <c r="M14" i="32"/>
  <c r="M14" i="33"/>
  <c r="L14" i="36"/>
  <c r="L14" i="10"/>
  <c r="N14" i="26"/>
  <c r="M14" i="28"/>
  <c r="L14" i="31"/>
  <c r="M13" i="24"/>
  <c r="L11" i="27"/>
  <c r="M13" i="28"/>
  <c r="N13" i="34"/>
  <c r="L13" i="35"/>
  <c r="L13" i="31"/>
  <c r="L13" i="36"/>
  <c r="L13" i="10"/>
  <c r="N13" i="26"/>
  <c r="M13" i="30"/>
  <c r="M13" i="6"/>
  <c r="M12" i="24"/>
  <c r="L12" i="35"/>
  <c r="M12" i="22"/>
  <c r="L12" i="10"/>
  <c r="L10" i="27"/>
  <c r="M12" i="28"/>
  <c r="N12" i="26"/>
  <c r="L12" i="36"/>
  <c r="L12" i="31"/>
  <c r="M12" i="33"/>
  <c r="N12" i="34"/>
  <c r="M12" i="32"/>
  <c r="M12" i="30"/>
  <c r="M11" i="24"/>
  <c r="L9" i="27"/>
  <c r="N11" i="34"/>
  <c r="L11" i="36"/>
  <c r="N11" i="26"/>
  <c r="M11" i="28"/>
  <c r="M11" i="6"/>
  <c r="L11" i="35"/>
  <c r="L11" i="10"/>
  <c r="M10" i="6"/>
  <c r="N10" i="34"/>
  <c r="L10" i="36"/>
  <c r="M10" i="24"/>
  <c r="N10" i="26"/>
  <c r="L8" i="27"/>
  <c r="M10" i="30"/>
  <c r="L10" i="31"/>
  <c r="L10" i="35"/>
  <c r="M10" i="33"/>
  <c r="L10" i="10"/>
  <c r="M10" i="22"/>
  <c r="M9" i="28"/>
  <c r="M9" i="33"/>
  <c r="N9" i="26"/>
  <c r="L9" i="36"/>
  <c r="L9" i="35"/>
  <c r="M9" i="24"/>
  <c r="M9" i="22"/>
  <c r="M9" i="30"/>
  <c r="M9" i="32"/>
  <c r="N9" i="34"/>
  <c r="M9" i="6"/>
  <c r="I46" i="32"/>
  <c r="C12" i="36"/>
  <c r="O22" i="36" s="1"/>
  <c r="O23" i="36" s="1"/>
  <c r="C53" i="26"/>
  <c r="C12" i="31"/>
  <c r="I22" i="31" s="1"/>
  <c r="C14" i="6"/>
  <c r="J22" i="6" s="1"/>
  <c r="J25" i="6" s="1"/>
  <c r="C15" i="32"/>
  <c r="C14" i="30"/>
  <c r="J22" i="30" s="1"/>
  <c r="J25" i="30" s="1"/>
  <c r="C14" i="26"/>
  <c r="J22" i="26" s="1"/>
  <c r="J23" i="26" s="1"/>
  <c r="C12" i="10"/>
  <c r="I22" i="10" s="1"/>
  <c r="C14" i="28"/>
  <c r="J22" i="28" s="1"/>
  <c r="J24" i="28" s="1"/>
  <c r="C15" i="22"/>
  <c r="H45" i="30"/>
  <c r="I45" i="34"/>
  <c r="C12" i="35"/>
  <c r="O22" i="35" s="1"/>
  <c r="C24" i="26"/>
  <c r="E12" i="26" s="1"/>
  <c r="E20" i="26" s="1"/>
  <c r="C24" i="6"/>
  <c r="E12" i="6" s="1"/>
  <c r="E12" i="33"/>
  <c r="E20" i="33" s="1"/>
  <c r="C14" i="33"/>
  <c r="J22" i="33" s="1"/>
  <c r="J24" i="33" s="1"/>
  <c r="C12" i="30"/>
  <c r="J7" i="30" s="1"/>
  <c r="C51" i="34"/>
  <c r="C54" i="34" s="1"/>
  <c r="E14" i="33"/>
  <c r="I45" i="33"/>
  <c r="I45" i="26"/>
  <c r="C7" i="27"/>
  <c r="C13" i="32"/>
  <c r="C44" i="32" s="1"/>
  <c r="C46" i="32" s="1"/>
  <c r="C13" i="22"/>
  <c r="C44" i="22" s="1"/>
  <c r="E14" i="34"/>
  <c r="E18" i="34" s="1"/>
  <c r="G45" i="36"/>
  <c r="H45" i="24"/>
  <c r="G45" i="35"/>
  <c r="H45" i="28"/>
  <c r="C6" i="6"/>
  <c r="C12" i="6" s="1"/>
  <c r="C51" i="26"/>
  <c r="C10" i="31"/>
  <c r="I7" i="31" s="1"/>
  <c r="C12" i="28"/>
  <c r="C10" i="36"/>
  <c r="I7" i="36" s="1"/>
  <c r="C4" i="27"/>
  <c r="P22" i="32"/>
  <c r="J22" i="32"/>
  <c r="E20" i="34"/>
  <c r="C26" i="34"/>
  <c r="C27" i="34" s="1"/>
  <c r="K22" i="34" s="1"/>
  <c r="C14" i="34"/>
  <c r="J22" i="34" s="1"/>
  <c r="C14" i="24"/>
  <c r="J22" i="24" s="1"/>
  <c r="G45" i="31"/>
  <c r="G45" i="10"/>
  <c r="P22" i="30"/>
  <c r="P23" i="24"/>
  <c r="C10" i="10"/>
  <c r="P24" i="24"/>
  <c r="I46" i="22"/>
  <c r="D14" i="6"/>
  <c r="D14" i="26"/>
  <c r="D12" i="26"/>
  <c r="D20" i="34"/>
  <c r="D20" i="6"/>
  <c r="D12" i="33"/>
  <c r="D14" i="33"/>
  <c r="C12" i="33"/>
  <c r="K7" i="33" s="1"/>
  <c r="C12" i="24"/>
  <c r="C12" i="26"/>
  <c r="D14" i="34"/>
  <c r="D18" i="34" s="1"/>
  <c r="C12" i="34"/>
  <c r="C25" i="34" s="1"/>
  <c r="C10" i="35"/>
  <c r="O39" i="47" l="1"/>
  <c r="O35" i="47"/>
  <c r="O37" i="47"/>
  <c r="O34" i="47"/>
  <c r="AQ12" i="44"/>
  <c r="AP12" i="44"/>
  <c r="AT21" i="44"/>
  <c r="AS21" i="44"/>
  <c r="AU21" i="44" s="1"/>
  <c r="AN21" i="44"/>
  <c r="AL22" i="44"/>
  <c r="O36" i="47"/>
  <c r="AF11" i="44"/>
  <c r="AH11" i="44" s="1"/>
  <c r="AJ11" i="44" s="1"/>
  <c r="AE11" i="44"/>
  <c r="AD12" i="44" s="1"/>
  <c r="AC21" i="44"/>
  <c r="AA22" i="44"/>
  <c r="AI22" i="44" s="1"/>
  <c r="U8" i="44"/>
  <c r="W8" i="44" s="1"/>
  <c r="Y8" i="44" s="1"/>
  <c r="T7" i="44"/>
  <c r="J35" i="47"/>
  <c r="J37" i="47"/>
  <c r="P33" i="47"/>
  <c r="P34" i="47" s="1"/>
  <c r="Q28" i="51"/>
  <c r="J38" i="47"/>
  <c r="J34" i="47"/>
  <c r="C30" i="52"/>
  <c r="H42" i="47"/>
  <c r="S24" i="52"/>
  <c r="J39" i="47"/>
  <c r="Q13" i="53"/>
  <c r="Q28" i="53"/>
  <c r="C55" i="52"/>
  <c r="S23" i="52"/>
  <c r="Q14" i="53"/>
  <c r="L25" i="52"/>
  <c r="K17" i="53"/>
  <c r="Q17" i="52"/>
  <c r="C16" i="52" s="1"/>
  <c r="K29" i="54"/>
  <c r="L23" i="52"/>
  <c r="L24" i="52"/>
  <c r="C78" i="52"/>
  <c r="L31" i="46" s="1"/>
  <c r="R17" i="52"/>
  <c r="C28" i="52" s="1"/>
  <c r="Q8" i="53"/>
  <c r="P17" i="53" s="1"/>
  <c r="Q11" i="53"/>
  <c r="Q9" i="53"/>
  <c r="Q12" i="53"/>
  <c r="O17" i="53"/>
  <c r="C19" i="53" s="1"/>
  <c r="F28" i="46" s="1"/>
  <c r="L8" i="52"/>
  <c r="L10" i="52"/>
  <c r="L9" i="52"/>
  <c r="L13" i="52"/>
  <c r="S7" i="52"/>
  <c r="L12" i="52"/>
  <c r="L11" i="52"/>
  <c r="L14" i="52"/>
  <c r="J28" i="47"/>
  <c r="C16" i="49"/>
  <c r="C21" i="53"/>
  <c r="K42" i="53"/>
  <c r="O42" i="53"/>
  <c r="Q39" i="53"/>
  <c r="Q35" i="53"/>
  <c r="Q38" i="53"/>
  <c r="Q34" i="53"/>
  <c r="P42" i="53" s="1"/>
  <c r="Q36" i="53"/>
  <c r="Q37" i="53"/>
  <c r="Q17" i="48"/>
  <c r="K42" i="52"/>
  <c r="I42" i="49"/>
  <c r="J42" i="49" s="1"/>
  <c r="I28" i="49"/>
  <c r="C24" i="49" s="1"/>
  <c r="I29" i="46" s="1"/>
  <c r="S33" i="52"/>
  <c r="L34" i="52"/>
  <c r="L42" i="52" s="1"/>
  <c r="Q42" i="52"/>
  <c r="C17" i="52" s="1"/>
  <c r="R37" i="52"/>
  <c r="R35" i="52"/>
  <c r="R38" i="52"/>
  <c r="R36" i="52"/>
  <c r="R34" i="52"/>
  <c r="P17" i="51"/>
  <c r="C28" i="51" s="1"/>
  <c r="K28" i="46" s="1"/>
  <c r="P34" i="51"/>
  <c r="P36" i="51"/>
  <c r="P37" i="51"/>
  <c r="P38" i="51"/>
  <c r="P35" i="51"/>
  <c r="I42" i="51"/>
  <c r="O17" i="51"/>
  <c r="C16" i="51" s="1"/>
  <c r="K38" i="51"/>
  <c r="K37" i="51"/>
  <c r="K35" i="51"/>
  <c r="Q33" i="51"/>
  <c r="K34" i="51"/>
  <c r="K36" i="51"/>
  <c r="K17" i="51"/>
  <c r="P39" i="50"/>
  <c r="P37" i="50"/>
  <c r="P34" i="50"/>
  <c r="P38" i="50"/>
  <c r="P36" i="50"/>
  <c r="P35" i="50"/>
  <c r="K24" i="50"/>
  <c r="K25" i="50"/>
  <c r="K23" i="50"/>
  <c r="J17" i="50"/>
  <c r="O17" i="50"/>
  <c r="I42" i="50"/>
  <c r="C17" i="50"/>
  <c r="Q23" i="50"/>
  <c r="Q25" i="50"/>
  <c r="Q24" i="50"/>
  <c r="Q11" i="50"/>
  <c r="Q12" i="50"/>
  <c r="Q13" i="50"/>
  <c r="Q8" i="50"/>
  <c r="Q14" i="50"/>
  <c r="Q9" i="50"/>
  <c r="Q10" i="50"/>
  <c r="P14" i="49"/>
  <c r="P9" i="49"/>
  <c r="P11" i="49"/>
  <c r="P13" i="49"/>
  <c r="P8" i="49"/>
  <c r="P10" i="49"/>
  <c r="P12" i="49"/>
  <c r="C15" i="49"/>
  <c r="N42" i="49"/>
  <c r="C23" i="49" s="1"/>
  <c r="O28" i="49"/>
  <c r="P28" i="49" s="1"/>
  <c r="I17" i="49"/>
  <c r="P38" i="49"/>
  <c r="P39" i="49"/>
  <c r="P35" i="49"/>
  <c r="P36" i="49"/>
  <c r="P34" i="49"/>
  <c r="P37" i="49"/>
  <c r="P36" i="48"/>
  <c r="P38" i="48"/>
  <c r="P39" i="48"/>
  <c r="P35" i="48"/>
  <c r="P34" i="48"/>
  <c r="P37" i="48"/>
  <c r="I42" i="48"/>
  <c r="I17" i="47"/>
  <c r="O28" i="47"/>
  <c r="P28" i="47" s="1"/>
  <c r="P9" i="47"/>
  <c r="P11" i="47"/>
  <c r="P13" i="47"/>
  <c r="P8" i="47"/>
  <c r="P10" i="47"/>
  <c r="P12" i="47"/>
  <c r="P14" i="47"/>
  <c r="I22" i="36"/>
  <c r="I25" i="36" s="1"/>
  <c r="C46" i="22"/>
  <c r="K24" i="33"/>
  <c r="K23" i="33"/>
  <c r="K25" i="33"/>
  <c r="P22" i="22"/>
  <c r="P24" i="22" s="1"/>
  <c r="O22" i="10"/>
  <c r="P22" i="10" s="1"/>
  <c r="J24" i="22"/>
  <c r="J23" i="22"/>
  <c r="J25" i="22"/>
  <c r="C54" i="26"/>
  <c r="O22" i="31"/>
  <c r="O25" i="31" s="1"/>
  <c r="J24" i="30"/>
  <c r="K10" i="33"/>
  <c r="I9" i="36"/>
  <c r="P22" i="6"/>
  <c r="P25" i="6" s="1"/>
  <c r="J23" i="6"/>
  <c r="J24" i="6"/>
  <c r="J23" i="28"/>
  <c r="J25" i="26"/>
  <c r="C13" i="10"/>
  <c r="I33" i="10" s="1"/>
  <c r="J23" i="30"/>
  <c r="P22" i="28"/>
  <c r="P25" i="28" s="1"/>
  <c r="J24" i="26"/>
  <c r="Q22" i="26"/>
  <c r="Q25" i="26" s="1"/>
  <c r="C15" i="28"/>
  <c r="J25" i="28"/>
  <c r="I22" i="35"/>
  <c r="I24" i="35" s="1"/>
  <c r="C13" i="35"/>
  <c r="I33" i="35" s="1"/>
  <c r="J25" i="33"/>
  <c r="C26" i="26"/>
  <c r="C27" i="26" s="1"/>
  <c r="K22" i="26" s="1"/>
  <c r="K25" i="26" s="1"/>
  <c r="E18" i="33"/>
  <c r="P22" i="33"/>
  <c r="P23" i="33" s="1"/>
  <c r="E14" i="26"/>
  <c r="E18" i="26" s="1"/>
  <c r="J23" i="33"/>
  <c r="O24" i="36"/>
  <c r="O25" i="36"/>
  <c r="E14" i="6"/>
  <c r="K7" i="15" s="1"/>
  <c r="C26" i="6"/>
  <c r="C27" i="6" s="1"/>
  <c r="K22" i="6" s="1"/>
  <c r="C15" i="30"/>
  <c r="I45" i="30" s="1"/>
  <c r="C13" i="36"/>
  <c r="I33" i="36" s="1"/>
  <c r="I38" i="36" s="1"/>
  <c r="J7" i="22"/>
  <c r="J11" i="22" s="1"/>
  <c r="C16" i="22"/>
  <c r="J33" i="22" s="1"/>
  <c r="P33" i="22" s="1"/>
  <c r="P35" i="22" s="1"/>
  <c r="J7" i="32"/>
  <c r="J13" i="32" s="1"/>
  <c r="C16" i="32"/>
  <c r="J33" i="32" s="1"/>
  <c r="C15" i="24"/>
  <c r="I45" i="24" s="1"/>
  <c r="C36" i="34"/>
  <c r="I7" i="10"/>
  <c r="I9" i="10" s="1"/>
  <c r="J7" i="6"/>
  <c r="J10" i="6" s="1"/>
  <c r="K7" i="6"/>
  <c r="K13" i="6" s="1"/>
  <c r="I7" i="35"/>
  <c r="I8" i="35" s="1"/>
  <c r="J7" i="28"/>
  <c r="J11" i="28" s="1"/>
  <c r="O28" i="24"/>
  <c r="I14" i="31"/>
  <c r="I9" i="31"/>
  <c r="C15" i="6"/>
  <c r="J45" i="6" s="1"/>
  <c r="K8" i="33"/>
  <c r="K11" i="33"/>
  <c r="C13" i="31"/>
  <c r="I33" i="31" s="1"/>
  <c r="K13" i="33"/>
  <c r="I10" i="36"/>
  <c r="I14" i="36"/>
  <c r="I8" i="36"/>
  <c r="C25" i="33"/>
  <c r="C25" i="6"/>
  <c r="I13" i="36"/>
  <c r="I12" i="36"/>
  <c r="J7" i="33"/>
  <c r="J9" i="33" s="1"/>
  <c r="K14" i="33"/>
  <c r="C15" i="33"/>
  <c r="J45" i="33" s="1"/>
  <c r="J7" i="24"/>
  <c r="J9" i="24" s="1"/>
  <c r="J24" i="24"/>
  <c r="J25" i="24"/>
  <c r="J23" i="24"/>
  <c r="I12" i="31"/>
  <c r="J24" i="32"/>
  <c r="J23" i="32"/>
  <c r="J25" i="32"/>
  <c r="I8" i="31"/>
  <c r="E20" i="6"/>
  <c r="C39" i="6" s="1"/>
  <c r="P25" i="30"/>
  <c r="P23" i="30"/>
  <c r="P24" i="30"/>
  <c r="J25" i="34"/>
  <c r="Q22" i="34"/>
  <c r="J23" i="34"/>
  <c r="J24" i="34"/>
  <c r="I11" i="36"/>
  <c r="O7" i="36"/>
  <c r="I23" i="10"/>
  <c r="I25" i="10"/>
  <c r="I24" i="10"/>
  <c r="P24" i="32"/>
  <c r="P23" i="32"/>
  <c r="P25" i="32"/>
  <c r="I23" i="31"/>
  <c r="I24" i="31"/>
  <c r="I25" i="31"/>
  <c r="K25" i="34"/>
  <c r="R22" i="34"/>
  <c r="K24" i="34"/>
  <c r="K23" i="34"/>
  <c r="Q23" i="33"/>
  <c r="Q25" i="33"/>
  <c r="Q24" i="33"/>
  <c r="I10" i="31"/>
  <c r="C15" i="34"/>
  <c r="J33" i="34" s="1"/>
  <c r="J7" i="34"/>
  <c r="J13" i="34" s="1"/>
  <c r="I11" i="31"/>
  <c r="K7" i="34"/>
  <c r="K10" i="34" s="1"/>
  <c r="O25" i="35"/>
  <c r="O23" i="35"/>
  <c r="O24" i="35"/>
  <c r="C20" i="31"/>
  <c r="D10" i="31" s="1"/>
  <c r="D14" i="31" s="1"/>
  <c r="I29" i="54" s="1"/>
  <c r="I13" i="31"/>
  <c r="O7" i="31"/>
  <c r="O14" i="31" s="1"/>
  <c r="D18" i="6"/>
  <c r="C39" i="34"/>
  <c r="C79" i="34"/>
  <c r="L30" i="54" s="1"/>
  <c r="J7" i="26"/>
  <c r="C15" i="26"/>
  <c r="K7" i="26"/>
  <c r="C25" i="26"/>
  <c r="D20" i="33"/>
  <c r="K30" i="54" s="1"/>
  <c r="D18" i="33"/>
  <c r="K12" i="33"/>
  <c r="K9" i="33"/>
  <c r="Q7" i="33"/>
  <c r="D18" i="26"/>
  <c r="D20" i="26"/>
  <c r="J14" i="30"/>
  <c r="K22" i="30"/>
  <c r="J9" i="30"/>
  <c r="J10" i="30"/>
  <c r="J8" i="30"/>
  <c r="P7" i="30"/>
  <c r="J12" i="30"/>
  <c r="J13" i="30"/>
  <c r="J11" i="30"/>
  <c r="C20" i="52" l="1"/>
  <c r="C21" i="52" s="1"/>
  <c r="C24" i="47"/>
  <c r="G29" i="46" s="1"/>
  <c r="C16" i="47"/>
  <c r="C17" i="47" s="1"/>
  <c r="C18" i="47" s="1"/>
  <c r="N42" i="47"/>
  <c r="AT22" i="44"/>
  <c r="AS22" i="44"/>
  <c r="AU22" i="44" s="1"/>
  <c r="AL23" i="44"/>
  <c r="AN22" i="44"/>
  <c r="AP13" i="44"/>
  <c r="AQ13" i="44"/>
  <c r="AE12" i="44"/>
  <c r="AD13" i="44" s="1"/>
  <c r="AF12" i="44"/>
  <c r="AH12" i="44" s="1"/>
  <c r="AJ12" i="44" s="1"/>
  <c r="AC22" i="44"/>
  <c r="AA23" i="44"/>
  <c r="T8" i="44"/>
  <c r="S9" i="44" s="1"/>
  <c r="P39" i="47"/>
  <c r="P38" i="47"/>
  <c r="P35" i="47"/>
  <c r="P36" i="47"/>
  <c r="P37" i="47"/>
  <c r="I42" i="47"/>
  <c r="J42" i="47" s="1"/>
  <c r="C17" i="49"/>
  <c r="C18" i="49" s="1"/>
  <c r="S28" i="52"/>
  <c r="T28" i="52" s="1"/>
  <c r="Q17" i="53"/>
  <c r="L28" i="52"/>
  <c r="M28" i="52" s="1"/>
  <c r="I28" i="28"/>
  <c r="C20" i="28" s="1"/>
  <c r="F14" i="54" s="1"/>
  <c r="Q24" i="26"/>
  <c r="K16" i="54"/>
  <c r="K17" i="54"/>
  <c r="C20" i="36"/>
  <c r="J7" i="36" s="1"/>
  <c r="J10" i="36" s="1"/>
  <c r="L17" i="52"/>
  <c r="S11" i="52"/>
  <c r="S12" i="52"/>
  <c r="S9" i="52"/>
  <c r="S14" i="52"/>
  <c r="S8" i="52"/>
  <c r="S13" i="52"/>
  <c r="S10" i="52"/>
  <c r="J28" i="49"/>
  <c r="J42" i="51"/>
  <c r="C23" i="53"/>
  <c r="F30" i="46"/>
  <c r="Q42" i="53"/>
  <c r="K18" i="46"/>
  <c r="I23" i="36"/>
  <c r="C29" i="52"/>
  <c r="C33" i="52" s="1"/>
  <c r="C37" i="52" s="1"/>
  <c r="C34" i="52" s="1"/>
  <c r="K17" i="46"/>
  <c r="Q17" i="51"/>
  <c r="J28" i="50"/>
  <c r="S34" i="52"/>
  <c r="S38" i="52"/>
  <c r="S36" i="52"/>
  <c r="S37" i="52"/>
  <c r="S35" i="52"/>
  <c r="R42" i="52"/>
  <c r="C57" i="52" s="1"/>
  <c r="C58" i="52" s="1"/>
  <c r="C59" i="52" s="1"/>
  <c r="M42" i="52"/>
  <c r="Q36" i="51"/>
  <c r="Q37" i="51"/>
  <c r="Q34" i="51"/>
  <c r="Q38" i="51"/>
  <c r="Q35" i="51"/>
  <c r="O42" i="51"/>
  <c r="C17" i="51" s="1"/>
  <c r="C20" i="51" s="1"/>
  <c r="C21" i="51" s="1"/>
  <c r="O42" i="50"/>
  <c r="C19" i="50" s="1"/>
  <c r="C20" i="50" s="1"/>
  <c r="C26" i="50"/>
  <c r="P28" i="50"/>
  <c r="Q28" i="50" s="1"/>
  <c r="P17" i="50"/>
  <c r="Q17" i="50" s="1"/>
  <c r="K17" i="50"/>
  <c r="O17" i="49"/>
  <c r="P17" i="49" s="1"/>
  <c r="O42" i="49"/>
  <c r="P42" i="49" s="1"/>
  <c r="C22" i="49"/>
  <c r="J17" i="49"/>
  <c r="O42" i="48"/>
  <c r="O17" i="47"/>
  <c r="P17" i="47" s="1"/>
  <c r="C22" i="47"/>
  <c r="J17" i="47"/>
  <c r="I24" i="36"/>
  <c r="C17" i="43"/>
  <c r="B5" i="44"/>
  <c r="C4" i="43"/>
  <c r="J33" i="28"/>
  <c r="J28" i="33"/>
  <c r="C30" i="33" s="1"/>
  <c r="K27" i="54" s="1"/>
  <c r="P25" i="22"/>
  <c r="O25" i="10"/>
  <c r="I28" i="6"/>
  <c r="P24" i="6"/>
  <c r="I28" i="22"/>
  <c r="P22" i="31"/>
  <c r="P23" i="31" s="1"/>
  <c r="I28" i="33"/>
  <c r="P23" i="22"/>
  <c r="O23" i="10"/>
  <c r="Q23" i="26"/>
  <c r="O24" i="10"/>
  <c r="I23" i="35"/>
  <c r="O24" i="31"/>
  <c r="I25" i="35"/>
  <c r="O23" i="31"/>
  <c r="I28" i="30"/>
  <c r="H45" i="35"/>
  <c r="P23" i="6"/>
  <c r="P23" i="28"/>
  <c r="P24" i="28"/>
  <c r="J28" i="26"/>
  <c r="C18" i="26" s="1"/>
  <c r="C4" i="40"/>
  <c r="F6" i="40" s="1"/>
  <c r="I45" i="28"/>
  <c r="C22" i="28" s="1"/>
  <c r="C17" i="27" s="1"/>
  <c r="P39" i="22"/>
  <c r="K23" i="26"/>
  <c r="R22" i="26"/>
  <c r="R23" i="26" s="1"/>
  <c r="P34" i="22"/>
  <c r="J36" i="22"/>
  <c r="N28" i="36"/>
  <c r="P7" i="32"/>
  <c r="P8" i="32" s="1"/>
  <c r="P38" i="22"/>
  <c r="P37" i="22"/>
  <c r="P36" i="22"/>
  <c r="J34" i="22"/>
  <c r="C36" i="26"/>
  <c r="K24" i="26"/>
  <c r="P24" i="33"/>
  <c r="E18" i="6"/>
  <c r="C36" i="6" s="1"/>
  <c r="J33" i="30"/>
  <c r="P33" i="30" s="1"/>
  <c r="C36" i="33"/>
  <c r="P25" i="33"/>
  <c r="K28" i="34"/>
  <c r="K25" i="6"/>
  <c r="K23" i="6"/>
  <c r="Q22" i="6"/>
  <c r="K24" i="6"/>
  <c r="K7" i="30"/>
  <c r="Q7" i="30" s="1"/>
  <c r="J37" i="22"/>
  <c r="J39" i="22"/>
  <c r="J35" i="22"/>
  <c r="I35" i="36"/>
  <c r="H45" i="36"/>
  <c r="I37" i="36"/>
  <c r="O33" i="36"/>
  <c r="O37" i="36" s="1"/>
  <c r="I34" i="36"/>
  <c r="I36" i="36"/>
  <c r="K11" i="6"/>
  <c r="J13" i="22"/>
  <c r="I39" i="36"/>
  <c r="J11" i="32"/>
  <c r="J12" i="6"/>
  <c r="J14" i="22"/>
  <c r="J8" i="22"/>
  <c r="J12" i="22"/>
  <c r="C23" i="22"/>
  <c r="K7" i="22" s="1"/>
  <c r="K13" i="22" s="1"/>
  <c r="J10" i="22"/>
  <c r="J14" i="32"/>
  <c r="J9" i="22"/>
  <c r="J10" i="32"/>
  <c r="P7" i="22"/>
  <c r="P10" i="22" s="1"/>
  <c r="J38" i="22"/>
  <c r="K7" i="24"/>
  <c r="K12" i="24" s="1"/>
  <c r="J33" i="24"/>
  <c r="J37" i="24" s="1"/>
  <c r="J8" i="28"/>
  <c r="J8" i="32"/>
  <c r="C23" i="32"/>
  <c r="K7" i="32" s="1"/>
  <c r="K12" i="32" s="1"/>
  <c r="J9" i="32"/>
  <c r="J12" i="32"/>
  <c r="J33" i="6"/>
  <c r="J34" i="6" s="1"/>
  <c r="I14" i="35"/>
  <c r="I11" i="10"/>
  <c r="I12" i="10"/>
  <c r="I14" i="10"/>
  <c r="I8" i="10"/>
  <c r="I13" i="35"/>
  <c r="J10" i="34"/>
  <c r="I10" i="10"/>
  <c r="O7" i="10"/>
  <c r="O13" i="10" s="1"/>
  <c r="C20" i="10"/>
  <c r="H45" i="10" s="1"/>
  <c r="C25" i="10" s="1"/>
  <c r="I13" i="10"/>
  <c r="J11" i="24"/>
  <c r="K12" i="6"/>
  <c r="J8" i="6"/>
  <c r="K10" i="6"/>
  <c r="I28" i="24"/>
  <c r="J14" i="6"/>
  <c r="K14" i="6"/>
  <c r="J11" i="6"/>
  <c r="K9" i="6"/>
  <c r="Q7" i="6"/>
  <c r="Q9" i="6" s="1"/>
  <c r="K8" i="6"/>
  <c r="J11" i="33"/>
  <c r="P7" i="28"/>
  <c r="P8" i="28" s="1"/>
  <c r="J14" i="28"/>
  <c r="H5" i="27"/>
  <c r="H12" i="27" s="1"/>
  <c r="K22" i="28"/>
  <c r="K25" i="28" s="1"/>
  <c r="J10" i="28"/>
  <c r="J9" i="28"/>
  <c r="J17" i="33"/>
  <c r="I10" i="35"/>
  <c r="I11" i="35"/>
  <c r="K7" i="28"/>
  <c r="K14" i="28" s="1"/>
  <c r="J22" i="31"/>
  <c r="J24" i="31" s="1"/>
  <c r="I12" i="35"/>
  <c r="J12" i="28"/>
  <c r="J8" i="33"/>
  <c r="I9" i="35"/>
  <c r="J13" i="28"/>
  <c r="C20" i="35"/>
  <c r="C21" i="35" s="1"/>
  <c r="J8" i="34"/>
  <c r="J7" i="31"/>
  <c r="J11" i="31" s="1"/>
  <c r="J14" i="34"/>
  <c r="O7" i="35"/>
  <c r="O13" i="35" s="1"/>
  <c r="J13" i="33"/>
  <c r="J14" i="33"/>
  <c r="J13" i="6"/>
  <c r="P7" i="6"/>
  <c r="J9" i="6"/>
  <c r="J33" i="33"/>
  <c r="J37" i="33" s="1"/>
  <c r="K8" i="15"/>
  <c r="I34" i="31"/>
  <c r="I38" i="31"/>
  <c r="J33" i="31"/>
  <c r="O33" i="31"/>
  <c r="I35" i="31"/>
  <c r="I36" i="31"/>
  <c r="I37" i="31"/>
  <c r="I39" i="31"/>
  <c r="H17" i="36"/>
  <c r="H45" i="31"/>
  <c r="C25" i="31" s="1"/>
  <c r="C21" i="31"/>
  <c r="P7" i="24"/>
  <c r="Q22" i="24" s="1"/>
  <c r="J8" i="24"/>
  <c r="J13" i="24"/>
  <c r="J12" i="24"/>
  <c r="O9" i="31"/>
  <c r="K22" i="24"/>
  <c r="K25" i="24" s="1"/>
  <c r="O12" i="31"/>
  <c r="H17" i="31"/>
  <c r="O10" i="31"/>
  <c r="J10" i="24"/>
  <c r="J14" i="24"/>
  <c r="O8" i="31"/>
  <c r="O13" i="31"/>
  <c r="J12" i="33"/>
  <c r="J9" i="34"/>
  <c r="K13" i="34"/>
  <c r="J10" i="33"/>
  <c r="Q7" i="34"/>
  <c r="Q11" i="34" s="1"/>
  <c r="J12" i="34"/>
  <c r="K9" i="34"/>
  <c r="P7" i="33"/>
  <c r="P12" i="33" s="1"/>
  <c r="J11" i="34"/>
  <c r="K14" i="34"/>
  <c r="O11" i="31"/>
  <c r="R23" i="34"/>
  <c r="R25" i="34"/>
  <c r="R24" i="34"/>
  <c r="J28" i="34"/>
  <c r="P24" i="10"/>
  <c r="P23" i="10"/>
  <c r="P25" i="10"/>
  <c r="O28" i="32"/>
  <c r="K12" i="34"/>
  <c r="Q23" i="34"/>
  <c r="Q24" i="34"/>
  <c r="Q25" i="34"/>
  <c r="K11" i="34"/>
  <c r="N28" i="35"/>
  <c r="I28" i="32"/>
  <c r="H28" i="10"/>
  <c r="C15" i="10" s="1"/>
  <c r="O28" i="30"/>
  <c r="R7" i="34"/>
  <c r="R11" i="34" s="1"/>
  <c r="K8" i="34"/>
  <c r="P28" i="33"/>
  <c r="H28" i="31"/>
  <c r="C15" i="31" s="1"/>
  <c r="O14" i="36"/>
  <c r="O10" i="36"/>
  <c r="O9" i="36"/>
  <c r="O11" i="36"/>
  <c r="O13" i="36"/>
  <c r="O8" i="36"/>
  <c r="O12" i="36"/>
  <c r="C39" i="33"/>
  <c r="C79" i="26"/>
  <c r="L17" i="54" s="1"/>
  <c r="C39" i="26"/>
  <c r="K10" i="26"/>
  <c r="K11" i="26"/>
  <c r="K12" i="26"/>
  <c r="K8" i="26"/>
  <c r="K13" i="26"/>
  <c r="R7" i="26"/>
  <c r="C61" i="26" s="1"/>
  <c r="J45" i="26" s="1"/>
  <c r="K14" i="26"/>
  <c r="K9" i="26"/>
  <c r="J33" i="26"/>
  <c r="Q12" i="33"/>
  <c r="Q13" i="33"/>
  <c r="Q14" i="33"/>
  <c r="Q9" i="33"/>
  <c r="Q10" i="33"/>
  <c r="Q11" i="33"/>
  <c r="Q8" i="33"/>
  <c r="J12" i="26"/>
  <c r="J13" i="26"/>
  <c r="J10" i="26"/>
  <c r="J11" i="26"/>
  <c r="Q7" i="26"/>
  <c r="J9" i="26"/>
  <c r="J8" i="26"/>
  <c r="J14" i="26"/>
  <c r="C31" i="6"/>
  <c r="C19" i="6"/>
  <c r="Q22" i="30"/>
  <c r="P14" i="30"/>
  <c r="P8" i="30"/>
  <c r="P13" i="30"/>
  <c r="P12" i="30"/>
  <c r="P10" i="30"/>
  <c r="P11" i="30"/>
  <c r="P9" i="30"/>
  <c r="I17" i="30"/>
  <c r="I35" i="10"/>
  <c r="I36" i="10"/>
  <c r="I37" i="10"/>
  <c r="I38" i="10"/>
  <c r="J33" i="10"/>
  <c r="I34" i="10"/>
  <c r="O33" i="10"/>
  <c r="I39" i="10"/>
  <c r="K33" i="34"/>
  <c r="J38" i="34"/>
  <c r="J35" i="34"/>
  <c r="J36" i="34"/>
  <c r="J37" i="34"/>
  <c r="J34" i="34"/>
  <c r="Q33" i="34"/>
  <c r="D18" i="31"/>
  <c r="C29" i="31" s="1"/>
  <c r="K24" i="30"/>
  <c r="K23" i="30"/>
  <c r="J28" i="30" s="1"/>
  <c r="K25" i="30"/>
  <c r="J36" i="32"/>
  <c r="J39" i="32"/>
  <c r="P33" i="32"/>
  <c r="J37" i="32"/>
  <c r="J38" i="32"/>
  <c r="J35" i="32"/>
  <c r="J34" i="32"/>
  <c r="C31" i="33"/>
  <c r="C19" i="33"/>
  <c r="I38" i="35"/>
  <c r="I34" i="35"/>
  <c r="I36" i="35"/>
  <c r="I37" i="35"/>
  <c r="I39" i="35"/>
  <c r="O33" i="35"/>
  <c r="I35" i="35"/>
  <c r="C35" i="52" l="1"/>
  <c r="C38" i="52" s="1"/>
  <c r="C40" i="52" s="1"/>
  <c r="C25" i="50"/>
  <c r="C63" i="52"/>
  <c r="L28" i="46" s="1"/>
  <c r="E37" i="50"/>
  <c r="K33" i="28"/>
  <c r="K35" i="28" s="1"/>
  <c r="P33" i="28"/>
  <c r="AT23" i="44"/>
  <c r="AN23" i="44"/>
  <c r="AL24" i="44"/>
  <c r="AQ14" i="44"/>
  <c r="AP14" i="44"/>
  <c r="AE13" i="44"/>
  <c r="AD14" i="44" s="1"/>
  <c r="AF13" i="44"/>
  <c r="AH13" i="44" s="1"/>
  <c r="AJ13" i="44" s="1"/>
  <c r="U9" i="44"/>
  <c r="O42" i="47"/>
  <c r="P42" i="47" s="1"/>
  <c r="AA24" i="44"/>
  <c r="AI24" i="44" s="1"/>
  <c r="AC23" i="44"/>
  <c r="T9" i="44"/>
  <c r="S10" i="44" s="1"/>
  <c r="G30" i="46"/>
  <c r="C23" i="47"/>
  <c r="C26" i="47" s="1"/>
  <c r="C27" i="47" s="1"/>
  <c r="J39" i="28"/>
  <c r="C65" i="52"/>
  <c r="L29" i="46" s="1"/>
  <c r="J35" i="28"/>
  <c r="C21" i="36"/>
  <c r="Q28" i="26"/>
  <c r="M17" i="52"/>
  <c r="D10" i="36"/>
  <c r="D14" i="36" s="1"/>
  <c r="G29" i="54" s="1"/>
  <c r="J22" i="36"/>
  <c r="P22" i="36" s="1"/>
  <c r="J33" i="36"/>
  <c r="S17" i="52"/>
  <c r="T17" i="52" s="1"/>
  <c r="H28" i="36"/>
  <c r="C15" i="36" s="1"/>
  <c r="C27" i="50"/>
  <c r="G28" i="46"/>
  <c r="C26" i="49"/>
  <c r="C27" i="49" s="1"/>
  <c r="I28" i="46"/>
  <c r="I34" i="46" s="1"/>
  <c r="K28" i="50"/>
  <c r="C76" i="52"/>
  <c r="C15" i="27"/>
  <c r="F27" i="54" s="1"/>
  <c r="F15" i="46"/>
  <c r="K42" i="51"/>
  <c r="L8" i="15"/>
  <c r="L18" i="46"/>
  <c r="S42" i="52"/>
  <c r="P42" i="51"/>
  <c r="Q42" i="51" s="1"/>
  <c r="C21" i="50"/>
  <c r="J36" i="28"/>
  <c r="J37" i="28"/>
  <c r="J38" i="28"/>
  <c r="J34" i="28"/>
  <c r="F9" i="43"/>
  <c r="G8" i="43"/>
  <c r="I5" i="43"/>
  <c r="I6" i="43" s="1"/>
  <c r="I7" i="43" s="1"/>
  <c r="I8" i="43" s="1"/>
  <c r="I9" i="43" s="1"/>
  <c r="G9" i="43" s="1"/>
  <c r="F8" i="43"/>
  <c r="I4" i="43"/>
  <c r="F4" i="43"/>
  <c r="F7" i="43"/>
  <c r="G7" i="43"/>
  <c r="F6" i="43"/>
  <c r="F5" i="43"/>
  <c r="B6" i="44"/>
  <c r="G7" i="44" s="1"/>
  <c r="H7" i="44"/>
  <c r="F17" i="43"/>
  <c r="H17" i="43" s="1"/>
  <c r="F19" i="43"/>
  <c r="I18" i="43"/>
  <c r="I19" i="43" s="1"/>
  <c r="I17" i="43"/>
  <c r="F18" i="43"/>
  <c r="K28" i="33"/>
  <c r="I4" i="40"/>
  <c r="P11" i="32"/>
  <c r="P9" i="32"/>
  <c r="O28" i="6"/>
  <c r="C18" i="6" s="1"/>
  <c r="P25" i="31"/>
  <c r="O28" i="22"/>
  <c r="C18" i="22" s="1"/>
  <c r="F8" i="40"/>
  <c r="F10" i="40"/>
  <c r="P13" i="32"/>
  <c r="P24" i="31"/>
  <c r="F7" i="40"/>
  <c r="F4" i="40"/>
  <c r="K28" i="30"/>
  <c r="H28" i="35"/>
  <c r="C15" i="35" s="1"/>
  <c r="N28" i="10"/>
  <c r="N28" i="31"/>
  <c r="F5" i="40"/>
  <c r="F9" i="40"/>
  <c r="K28" i="26"/>
  <c r="P14" i="32"/>
  <c r="P12" i="32"/>
  <c r="P10" i="32"/>
  <c r="O28" i="28"/>
  <c r="R25" i="26"/>
  <c r="R24" i="26"/>
  <c r="J34" i="30"/>
  <c r="J36" i="30"/>
  <c r="J39" i="30"/>
  <c r="O28" i="33"/>
  <c r="C18" i="33" s="1"/>
  <c r="J38" i="30"/>
  <c r="O42" i="22"/>
  <c r="K14" i="30"/>
  <c r="K10" i="30"/>
  <c r="K13" i="30"/>
  <c r="J37" i="30"/>
  <c r="K33" i="6"/>
  <c r="K38" i="6" s="1"/>
  <c r="J35" i="30"/>
  <c r="K9" i="30"/>
  <c r="K12" i="30"/>
  <c r="K11" i="30"/>
  <c r="K8" i="30"/>
  <c r="J17" i="30" s="1"/>
  <c r="K17" i="30" s="1"/>
  <c r="O39" i="36"/>
  <c r="J37" i="6"/>
  <c r="Q23" i="6"/>
  <c r="Q25" i="6"/>
  <c r="Q24" i="6"/>
  <c r="J28" i="6"/>
  <c r="K14" i="54" s="1"/>
  <c r="I42" i="22"/>
  <c r="C19" i="22" s="1"/>
  <c r="O38" i="36"/>
  <c r="O36" i="36"/>
  <c r="O35" i="36"/>
  <c r="P14" i="22"/>
  <c r="O34" i="36"/>
  <c r="P33" i="24"/>
  <c r="P34" i="24" s="1"/>
  <c r="K10" i="24"/>
  <c r="P33" i="6"/>
  <c r="P38" i="6" s="1"/>
  <c r="J46" i="22"/>
  <c r="J35" i="6"/>
  <c r="J36" i="6"/>
  <c r="K14" i="22"/>
  <c r="H42" i="36"/>
  <c r="C24" i="22"/>
  <c r="K22" i="22"/>
  <c r="K24" i="22" s="1"/>
  <c r="K9" i="22"/>
  <c r="Q22" i="28"/>
  <c r="Q23" i="28" s="1"/>
  <c r="P28" i="28" s="1"/>
  <c r="I17" i="22"/>
  <c r="K12" i="22"/>
  <c r="K11" i="22"/>
  <c r="K10" i="22"/>
  <c r="D13" i="22"/>
  <c r="D17" i="22" s="1"/>
  <c r="D21" i="22" s="1"/>
  <c r="C29" i="22" s="1"/>
  <c r="O12" i="35"/>
  <c r="Q22" i="22"/>
  <c r="Q25" i="22" s="1"/>
  <c r="K8" i="22"/>
  <c r="P9" i="22"/>
  <c r="P12" i="22"/>
  <c r="P8" i="22"/>
  <c r="J38" i="6"/>
  <c r="P13" i="22"/>
  <c r="Q7" i="22"/>
  <c r="Q13" i="22" s="1"/>
  <c r="P11" i="22"/>
  <c r="F5" i="15"/>
  <c r="K11" i="24"/>
  <c r="K14" i="24"/>
  <c r="J39" i="24"/>
  <c r="K8" i="24"/>
  <c r="J17" i="24" s="1"/>
  <c r="Q7" i="24"/>
  <c r="Q14" i="24" s="1"/>
  <c r="K9" i="24"/>
  <c r="J36" i="24"/>
  <c r="J35" i="24"/>
  <c r="J38" i="24"/>
  <c r="K13" i="24"/>
  <c r="J34" i="24"/>
  <c r="O11" i="10"/>
  <c r="O12" i="10"/>
  <c r="O14" i="10"/>
  <c r="O9" i="10"/>
  <c r="O8" i="10"/>
  <c r="I17" i="32"/>
  <c r="O10" i="10"/>
  <c r="J46" i="32"/>
  <c r="C24" i="32"/>
  <c r="K10" i="32"/>
  <c r="K11" i="32"/>
  <c r="K8" i="32"/>
  <c r="Q22" i="32"/>
  <c r="Q23" i="32" s="1"/>
  <c r="Q13" i="6"/>
  <c r="K14" i="32"/>
  <c r="K22" i="32"/>
  <c r="K24" i="32" s="1"/>
  <c r="K13" i="32"/>
  <c r="K9" i="32"/>
  <c r="H17" i="10"/>
  <c r="Q7" i="32"/>
  <c r="Q11" i="32" s="1"/>
  <c r="D13" i="32"/>
  <c r="D17" i="32" s="1"/>
  <c r="Q10" i="6"/>
  <c r="Q11" i="6"/>
  <c r="J7" i="10"/>
  <c r="J12" i="10" s="1"/>
  <c r="J22" i="10"/>
  <c r="J24" i="10" s="1"/>
  <c r="D10" i="10"/>
  <c r="D14" i="10" s="1"/>
  <c r="I16" i="54" s="1"/>
  <c r="C21" i="10"/>
  <c r="P8" i="24"/>
  <c r="J22" i="35"/>
  <c r="J23" i="35" s="1"/>
  <c r="P11" i="24"/>
  <c r="O8" i="35"/>
  <c r="J12" i="36"/>
  <c r="J34" i="33"/>
  <c r="J36" i="33"/>
  <c r="J8" i="36"/>
  <c r="J38" i="33"/>
  <c r="Q7" i="28"/>
  <c r="Q13" i="28" s="1"/>
  <c r="Q12" i="6"/>
  <c r="Q8" i="6"/>
  <c r="J17" i="6"/>
  <c r="J33" i="35"/>
  <c r="P33" i="35" s="1"/>
  <c r="Q14" i="6"/>
  <c r="K33" i="33"/>
  <c r="Q33" i="33" s="1"/>
  <c r="O9" i="35"/>
  <c r="P11" i="28"/>
  <c r="O11" i="35"/>
  <c r="P10" i="28"/>
  <c r="O14" i="35"/>
  <c r="P14" i="28"/>
  <c r="P13" i="28"/>
  <c r="K23" i="28"/>
  <c r="J28" i="28" s="1"/>
  <c r="K28" i="28" s="1"/>
  <c r="O10" i="35"/>
  <c r="P9" i="28"/>
  <c r="K24" i="28"/>
  <c r="P12" i="28"/>
  <c r="K24" i="24"/>
  <c r="C18" i="34"/>
  <c r="C18" i="32"/>
  <c r="K13" i="28"/>
  <c r="I17" i="28"/>
  <c r="C19" i="28" s="1"/>
  <c r="K11" i="28"/>
  <c r="K8" i="28"/>
  <c r="J17" i="28" s="1"/>
  <c r="H8" i="27"/>
  <c r="R8" i="34"/>
  <c r="K12" i="28"/>
  <c r="H10" i="27"/>
  <c r="K10" i="28"/>
  <c r="K9" i="28"/>
  <c r="H11" i="27"/>
  <c r="J13" i="36"/>
  <c r="H9" i="27"/>
  <c r="P7" i="36"/>
  <c r="P13" i="36" s="1"/>
  <c r="I5" i="27"/>
  <c r="I9" i="27" s="1"/>
  <c r="I17" i="6"/>
  <c r="J9" i="36"/>
  <c r="H6" i="27"/>
  <c r="C61" i="34"/>
  <c r="L22" i="34" s="1"/>
  <c r="L24" i="34" s="1"/>
  <c r="J11" i="36"/>
  <c r="O5" i="27"/>
  <c r="O9" i="27" s="1"/>
  <c r="I17" i="33"/>
  <c r="K17" i="33" s="1"/>
  <c r="J5" i="27"/>
  <c r="J10" i="27" s="1"/>
  <c r="H17" i="35"/>
  <c r="J14" i="36"/>
  <c r="H7" i="27"/>
  <c r="J10" i="31"/>
  <c r="J13" i="31"/>
  <c r="J9" i="31"/>
  <c r="N17" i="31"/>
  <c r="C14" i="31" s="1"/>
  <c r="J8" i="31"/>
  <c r="J23" i="31"/>
  <c r="P12" i="24"/>
  <c r="J12" i="31"/>
  <c r="J35" i="33"/>
  <c r="P14" i="24"/>
  <c r="J14" i="31"/>
  <c r="J25" i="31"/>
  <c r="P13" i="24"/>
  <c r="P7" i="31"/>
  <c r="P12" i="31" s="1"/>
  <c r="P33" i="33"/>
  <c r="P38" i="33" s="1"/>
  <c r="J7" i="35"/>
  <c r="J9" i="35" s="1"/>
  <c r="P12" i="6"/>
  <c r="P9" i="6"/>
  <c r="P8" i="6"/>
  <c r="P10" i="6"/>
  <c r="P13" i="6"/>
  <c r="P14" i="6"/>
  <c r="P11" i="6"/>
  <c r="P9" i="24"/>
  <c r="P10" i="24"/>
  <c r="D10" i="35"/>
  <c r="D14" i="35" s="1"/>
  <c r="G16" i="54" s="1"/>
  <c r="Q28" i="34"/>
  <c r="P14" i="33"/>
  <c r="I17" i="24"/>
  <c r="O37" i="31"/>
  <c r="O39" i="31"/>
  <c r="O34" i="31"/>
  <c r="P33" i="31"/>
  <c r="O38" i="31"/>
  <c r="O36" i="31"/>
  <c r="O35" i="31"/>
  <c r="J39" i="31"/>
  <c r="J34" i="31"/>
  <c r="J35" i="31"/>
  <c r="J37" i="31"/>
  <c r="J36" i="31"/>
  <c r="J38" i="31"/>
  <c r="K23" i="24"/>
  <c r="J28" i="24" s="1"/>
  <c r="K28" i="24" s="1"/>
  <c r="R9" i="34"/>
  <c r="H42" i="31"/>
  <c r="P9" i="33"/>
  <c r="P8" i="33"/>
  <c r="J17" i="34"/>
  <c r="Q8" i="34"/>
  <c r="Q10" i="34"/>
  <c r="P11" i="33"/>
  <c r="Q13" i="34"/>
  <c r="P10" i="33"/>
  <c r="Q12" i="34"/>
  <c r="Q14" i="34"/>
  <c r="P13" i="33"/>
  <c r="Q9" i="34"/>
  <c r="K17" i="34"/>
  <c r="R14" i="34"/>
  <c r="N17" i="36"/>
  <c r="C14" i="36" s="1"/>
  <c r="R12" i="34"/>
  <c r="R28" i="34"/>
  <c r="R13" i="34"/>
  <c r="R10" i="34"/>
  <c r="O28" i="10"/>
  <c r="P17" i="33"/>
  <c r="C28" i="33" s="1"/>
  <c r="K26" i="54" s="1"/>
  <c r="Q33" i="26"/>
  <c r="J37" i="26"/>
  <c r="J34" i="26"/>
  <c r="J35" i="26"/>
  <c r="J38" i="26"/>
  <c r="K33" i="26"/>
  <c r="J36" i="26"/>
  <c r="L22" i="26"/>
  <c r="D51" i="26"/>
  <c r="D55" i="26" s="1"/>
  <c r="D59" i="26" s="1"/>
  <c r="C62" i="26"/>
  <c r="J17" i="26"/>
  <c r="C31" i="26"/>
  <c r="C66" i="26"/>
  <c r="C19" i="26"/>
  <c r="L7" i="26"/>
  <c r="Q8" i="26"/>
  <c r="Q9" i="26"/>
  <c r="Q11" i="26"/>
  <c r="Q14" i="26"/>
  <c r="Q13" i="26"/>
  <c r="Q12" i="26"/>
  <c r="Q10" i="26"/>
  <c r="K17" i="26"/>
  <c r="R9" i="26"/>
  <c r="R14" i="26"/>
  <c r="R12" i="26"/>
  <c r="R10" i="26"/>
  <c r="R11" i="26"/>
  <c r="R8" i="26"/>
  <c r="R13" i="26"/>
  <c r="P35" i="32"/>
  <c r="P39" i="32"/>
  <c r="P34" i="32"/>
  <c r="P38" i="32"/>
  <c r="P37" i="32"/>
  <c r="P36" i="32"/>
  <c r="O38" i="10"/>
  <c r="O37" i="10"/>
  <c r="O34" i="10"/>
  <c r="O35" i="10"/>
  <c r="O36" i="10"/>
  <c r="P33" i="10"/>
  <c r="O39" i="10"/>
  <c r="R33" i="34"/>
  <c r="K34" i="34"/>
  <c r="K37" i="34"/>
  <c r="K35" i="34"/>
  <c r="K38" i="34"/>
  <c r="K36" i="34"/>
  <c r="L33" i="34"/>
  <c r="H42" i="10"/>
  <c r="P39" i="30"/>
  <c r="P37" i="30"/>
  <c r="P36" i="30"/>
  <c r="P38" i="30"/>
  <c r="P35" i="30"/>
  <c r="P34" i="30"/>
  <c r="J37" i="10"/>
  <c r="J35" i="10"/>
  <c r="J34" i="10"/>
  <c r="J36" i="10"/>
  <c r="J38" i="10"/>
  <c r="J39" i="10"/>
  <c r="O17" i="30"/>
  <c r="E5" i="30" s="1"/>
  <c r="Q24" i="24"/>
  <c r="Q25" i="24"/>
  <c r="Q23" i="24"/>
  <c r="P28" i="24" s="1"/>
  <c r="Q28" i="24" s="1"/>
  <c r="I42" i="32"/>
  <c r="Q36" i="34"/>
  <c r="Q34" i="34"/>
  <c r="Q37" i="34"/>
  <c r="Q35" i="34"/>
  <c r="Q38" i="34"/>
  <c r="K36" i="28"/>
  <c r="H42" i="35"/>
  <c r="Q10" i="30"/>
  <c r="Q12" i="30"/>
  <c r="Q14" i="30"/>
  <c r="Q13" i="30"/>
  <c r="Q11" i="30"/>
  <c r="Q8" i="30"/>
  <c r="P17" i="30" s="1"/>
  <c r="Q9" i="30"/>
  <c r="O37" i="35"/>
  <c r="O39" i="35"/>
  <c r="O38" i="35"/>
  <c r="O35" i="35"/>
  <c r="O34" i="35"/>
  <c r="O36" i="35"/>
  <c r="J42" i="34"/>
  <c r="Q24" i="30"/>
  <c r="Q23" i="30"/>
  <c r="P28" i="30" s="1"/>
  <c r="Q28" i="30" s="1"/>
  <c r="Q25" i="30"/>
  <c r="K38" i="28" l="1"/>
  <c r="K37" i="28"/>
  <c r="K39" i="28"/>
  <c r="C28" i="50"/>
  <c r="C30" i="50" s="1"/>
  <c r="T42" i="52"/>
  <c r="C64" i="52"/>
  <c r="L30" i="46" s="1"/>
  <c r="C29" i="51"/>
  <c r="K34" i="28"/>
  <c r="J42" i="28" s="1"/>
  <c r="I15" i="54"/>
  <c r="I6" i="15"/>
  <c r="G5" i="40"/>
  <c r="H5" i="40" s="1"/>
  <c r="P36" i="28"/>
  <c r="P38" i="28"/>
  <c r="P34" i="28"/>
  <c r="P37" i="28"/>
  <c r="P39" i="28"/>
  <c r="P35" i="28"/>
  <c r="Q33" i="28"/>
  <c r="P23" i="36"/>
  <c r="P25" i="36"/>
  <c r="J34" i="36"/>
  <c r="P33" i="36"/>
  <c r="P34" i="36" s="1"/>
  <c r="J36" i="36"/>
  <c r="J39" i="36"/>
  <c r="J37" i="36"/>
  <c r="AP15" i="44"/>
  <c r="AQ15" i="44"/>
  <c r="AT24" i="44"/>
  <c r="AN24" i="44"/>
  <c r="AL25" i="44"/>
  <c r="U10" i="44"/>
  <c r="AE14" i="44"/>
  <c r="AD15" i="44" s="1"/>
  <c r="AF14" i="44"/>
  <c r="AH14" i="44" s="1"/>
  <c r="AJ14" i="44" s="1"/>
  <c r="W9" i="44"/>
  <c r="Y9" i="44" s="1"/>
  <c r="X9" i="44"/>
  <c r="AC24" i="44"/>
  <c r="AA25" i="44"/>
  <c r="AI25" i="44" s="1"/>
  <c r="T10" i="44"/>
  <c r="S11" i="44" s="1"/>
  <c r="G34" i="46"/>
  <c r="P24" i="36"/>
  <c r="J23" i="36"/>
  <c r="J35" i="36"/>
  <c r="J38" i="36"/>
  <c r="D18" i="36"/>
  <c r="C29" i="36" s="1"/>
  <c r="J24" i="36"/>
  <c r="J25" i="36"/>
  <c r="D21" i="32"/>
  <c r="C29" i="32" s="1"/>
  <c r="C28" i="47"/>
  <c r="C30" i="47" s="1"/>
  <c r="C28" i="49"/>
  <c r="C30" i="49" s="1"/>
  <c r="I42" i="6"/>
  <c r="I42" i="28"/>
  <c r="I16" i="46"/>
  <c r="C30" i="6"/>
  <c r="K15" i="46"/>
  <c r="G7" i="15"/>
  <c r="G17" i="46"/>
  <c r="I7" i="15"/>
  <c r="I17" i="46"/>
  <c r="H8" i="43"/>
  <c r="H4" i="43"/>
  <c r="L3" i="43"/>
  <c r="H23" i="44"/>
  <c r="H11" i="44"/>
  <c r="H13" i="44"/>
  <c r="H9" i="44"/>
  <c r="H8" i="44"/>
  <c r="N7" i="44"/>
  <c r="H12" i="44"/>
  <c r="H10" i="44"/>
  <c r="H14" i="44"/>
  <c r="G23" i="44"/>
  <c r="G12" i="44"/>
  <c r="G8" i="44"/>
  <c r="G13" i="44"/>
  <c r="G14" i="44"/>
  <c r="G9" i="44"/>
  <c r="G10" i="44"/>
  <c r="G11" i="44"/>
  <c r="M7" i="44"/>
  <c r="L16" i="43"/>
  <c r="H7" i="43"/>
  <c r="H9" i="43"/>
  <c r="O28" i="31"/>
  <c r="P28" i="31" s="1"/>
  <c r="O17" i="32"/>
  <c r="Q33" i="6"/>
  <c r="Q38" i="6" s="1"/>
  <c r="K36" i="6"/>
  <c r="L3" i="40"/>
  <c r="P28" i="10"/>
  <c r="I5" i="40"/>
  <c r="I6" i="40" s="1"/>
  <c r="I7" i="40" s="1"/>
  <c r="I8" i="40" s="1"/>
  <c r="I9" i="40" s="1"/>
  <c r="I10" i="40" s="1"/>
  <c r="K37" i="6"/>
  <c r="K34" i="6"/>
  <c r="K35" i="6"/>
  <c r="Q28" i="28"/>
  <c r="R28" i="26"/>
  <c r="I42" i="30"/>
  <c r="Q28" i="33"/>
  <c r="C17" i="32"/>
  <c r="P36" i="6"/>
  <c r="P34" i="6"/>
  <c r="C26" i="22"/>
  <c r="K5" i="15"/>
  <c r="K28" i="6"/>
  <c r="P38" i="24"/>
  <c r="N42" i="36"/>
  <c r="P28" i="6"/>
  <c r="Q28" i="6" s="1"/>
  <c r="K23" i="22"/>
  <c r="Q12" i="22"/>
  <c r="K25" i="22"/>
  <c r="Q24" i="28"/>
  <c r="P37" i="24"/>
  <c r="Q25" i="28"/>
  <c r="Q8" i="32"/>
  <c r="P36" i="24"/>
  <c r="P35" i="24"/>
  <c r="P39" i="24"/>
  <c r="C16" i="36"/>
  <c r="C17" i="36" s="1"/>
  <c r="C18" i="36" s="1"/>
  <c r="Q12" i="24"/>
  <c r="Q14" i="22"/>
  <c r="P37" i="6"/>
  <c r="P35" i="6"/>
  <c r="Q9" i="24"/>
  <c r="J17" i="22"/>
  <c r="K17" i="22" s="1"/>
  <c r="Q10" i="24"/>
  <c r="P5" i="27"/>
  <c r="P7" i="27" s="1"/>
  <c r="Q24" i="22"/>
  <c r="Q23" i="22"/>
  <c r="Q8" i="24"/>
  <c r="P17" i="24" s="1"/>
  <c r="O17" i="22"/>
  <c r="C17" i="22" s="1"/>
  <c r="C20" i="22" s="1"/>
  <c r="C21" i="22" s="1"/>
  <c r="Q8" i="22"/>
  <c r="Q10" i="22"/>
  <c r="Q11" i="22"/>
  <c r="Q9" i="22"/>
  <c r="K17" i="24"/>
  <c r="I42" i="24"/>
  <c r="P22" i="35"/>
  <c r="P23" i="35" s="1"/>
  <c r="Q13" i="24"/>
  <c r="J25" i="35"/>
  <c r="J24" i="35"/>
  <c r="Q11" i="24"/>
  <c r="O12" i="27"/>
  <c r="Q8" i="28"/>
  <c r="P17" i="28" s="1"/>
  <c r="K25" i="32"/>
  <c r="Q14" i="28"/>
  <c r="Q14" i="32"/>
  <c r="O7" i="27"/>
  <c r="N17" i="10"/>
  <c r="C14" i="10" s="1"/>
  <c r="K23" i="32"/>
  <c r="K38" i="33"/>
  <c r="K37" i="33"/>
  <c r="K35" i="33"/>
  <c r="D18" i="10"/>
  <c r="C29" i="10" s="1"/>
  <c r="P8" i="31"/>
  <c r="P13" i="31"/>
  <c r="P11" i="31"/>
  <c r="Q24" i="32"/>
  <c r="Q25" i="32"/>
  <c r="J17" i="32"/>
  <c r="K17" i="32" s="1"/>
  <c r="J25" i="10"/>
  <c r="Q12" i="32"/>
  <c r="I7" i="27"/>
  <c r="I12" i="27"/>
  <c r="Q13" i="32"/>
  <c r="I10" i="27"/>
  <c r="Q9" i="32"/>
  <c r="J23" i="10"/>
  <c r="Q5" i="27"/>
  <c r="Q11" i="27" s="1"/>
  <c r="Q10" i="32"/>
  <c r="K17" i="6"/>
  <c r="P17" i="6"/>
  <c r="C28" i="6" s="1"/>
  <c r="J10" i="10"/>
  <c r="J9" i="10"/>
  <c r="J8" i="10"/>
  <c r="J14" i="10"/>
  <c r="J11" i="10"/>
  <c r="P7" i="10"/>
  <c r="P11" i="10" s="1"/>
  <c r="J13" i="10"/>
  <c r="K34" i="33"/>
  <c r="P10" i="36"/>
  <c r="K36" i="33"/>
  <c r="K17" i="28"/>
  <c r="P9" i="31"/>
  <c r="J35" i="35"/>
  <c r="J34" i="35"/>
  <c r="J38" i="35"/>
  <c r="D51" i="34"/>
  <c r="D55" i="34" s="1"/>
  <c r="D59" i="34" s="1"/>
  <c r="C78" i="34" s="1"/>
  <c r="L29" i="54" s="1"/>
  <c r="J39" i="35"/>
  <c r="J37" i="35"/>
  <c r="O17" i="28"/>
  <c r="J11" i="35"/>
  <c r="J36" i="35"/>
  <c r="P8" i="36"/>
  <c r="O10" i="27"/>
  <c r="P14" i="31"/>
  <c r="J8" i="35"/>
  <c r="P9" i="36"/>
  <c r="D18" i="35"/>
  <c r="C29" i="35" s="1"/>
  <c r="O6" i="27"/>
  <c r="P10" i="31"/>
  <c r="Q11" i="28"/>
  <c r="P14" i="36"/>
  <c r="C62" i="34"/>
  <c r="I42" i="33"/>
  <c r="P12" i="36"/>
  <c r="O11" i="27"/>
  <c r="Q10" i="28"/>
  <c r="N17" i="35"/>
  <c r="C14" i="35" s="1"/>
  <c r="O8" i="27"/>
  <c r="Q9" i="28"/>
  <c r="P11" i="36"/>
  <c r="Q12" i="28"/>
  <c r="C30" i="26"/>
  <c r="C56" i="26"/>
  <c r="C56" i="34"/>
  <c r="C30" i="34"/>
  <c r="J12" i="27"/>
  <c r="J8" i="27"/>
  <c r="J6" i="27"/>
  <c r="L23" i="34"/>
  <c r="I17" i="36"/>
  <c r="J17" i="36" s="1"/>
  <c r="J9" i="27"/>
  <c r="L25" i="34"/>
  <c r="J11" i="27"/>
  <c r="S22" i="34"/>
  <c r="S25" i="34" s="1"/>
  <c r="H15" i="27"/>
  <c r="J7" i="27"/>
  <c r="I8" i="27"/>
  <c r="I11" i="27"/>
  <c r="J45" i="34"/>
  <c r="L7" i="34"/>
  <c r="I6" i="27"/>
  <c r="I17" i="31"/>
  <c r="J17" i="31" s="1"/>
  <c r="O17" i="24"/>
  <c r="E5" i="24" s="1"/>
  <c r="I28" i="31"/>
  <c r="J28" i="31" s="1"/>
  <c r="P34" i="33"/>
  <c r="P36" i="33"/>
  <c r="J13" i="35"/>
  <c r="O17" i="6"/>
  <c r="P37" i="33"/>
  <c r="J12" i="35"/>
  <c r="P7" i="35"/>
  <c r="P8" i="35" s="1"/>
  <c r="J14" i="35"/>
  <c r="P35" i="33"/>
  <c r="J10" i="35"/>
  <c r="P34" i="31"/>
  <c r="P36" i="31"/>
  <c r="P37" i="31"/>
  <c r="P35" i="31"/>
  <c r="P39" i="31"/>
  <c r="P38" i="31"/>
  <c r="N42" i="31"/>
  <c r="C23" i="31" s="1"/>
  <c r="I28" i="54" s="1"/>
  <c r="I42" i="31"/>
  <c r="J42" i="31" s="1"/>
  <c r="O17" i="33"/>
  <c r="Q17" i="34"/>
  <c r="C16" i="34" s="1"/>
  <c r="R17" i="34"/>
  <c r="C55" i="34" s="1"/>
  <c r="Q17" i="26"/>
  <c r="C16" i="26" s="1"/>
  <c r="Q36" i="26"/>
  <c r="Q38" i="26"/>
  <c r="Q37" i="26"/>
  <c r="Q34" i="26"/>
  <c r="Q35" i="26"/>
  <c r="L24" i="26"/>
  <c r="S22" i="26"/>
  <c r="L25" i="26"/>
  <c r="L23" i="26"/>
  <c r="L33" i="26"/>
  <c r="K35" i="26"/>
  <c r="K36" i="26"/>
  <c r="K37" i="26"/>
  <c r="K38" i="26"/>
  <c r="K34" i="26"/>
  <c r="R33" i="26"/>
  <c r="R17" i="26"/>
  <c r="C55" i="26" s="1"/>
  <c r="L10" i="26"/>
  <c r="L8" i="26"/>
  <c r="S7" i="26"/>
  <c r="L9" i="26"/>
  <c r="L14" i="26"/>
  <c r="L11" i="26"/>
  <c r="L13" i="26"/>
  <c r="L12" i="26"/>
  <c r="J42" i="26"/>
  <c r="C78" i="26"/>
  <c r="L16" i="54" s="1"/>
  <c r="C70" i="26"/>
  <c r="N42" i="35"/>
  <c r="C16" i="35" s="1"/>
  <c r="P35" i="35"/>
  <c r="P34" i="35"/>
  <c r="P37" i="35"/>
  <c r="P38" i="35"/>
  <c r="P36" i="35"/>
  <c r="P39" i="35"/>
  <c r="O42" i="32"/>
  <c r="C19" i="32" s="1"/>
  <c r="Q35" i="33"/>
  <c r="Q38" i="33"/>
  <c r="Q34" i="33"/>
  <c r="Q36" i="33"/>
  <c r="Q37" i="33"/>
  <c r="P37" i="10"/>
  <c r="P34" i="10"/>
  <c r="P38" i="10"/>
  <c r="P35" i="10"/>
  <c r="P39" i="10"/>
  <c r="P36" i="10"/>
  <c r="Q17" i="30"/>
  <c r="I42" i="10"/>
  <c r="J42" i="10" s="1"/>
  <c r="K42" i="34"/>
  <c r="L34" i="34"/>
  <c r="L42" i="34" s="1"/>
  <c r="S33" i="34"/>
  <c r="Q42" i="34"/>
  <c r="C17" i="34" s="1"/>
  <c r="O42" i="30"/>
  <c r="R36" i="34"/>
  <c r="R34" i="34"/>
  <c r="R37" i="34"/>
  <c r="R35" i="34"/>
  <c r="R38" i="34"/>
  <c r="N42" i="10"/>
  <c r="C16" i="10" s="1"/>
  <c r="C31" i="50" l="1"/>
  <c r="C32" i="50" s="1"/>
  <c r="C53" i="50" s="1"/>
  <c r="C67" i="52"/>
  <c r="C68" i="52" s="1"/>
  <c r="C33" i="51"/>
  <c r="C37" i="51" s="1"/>
  <c r="C34" i="51" s="1"/>
  <c r="K30" i="46"/>
  <c r="K34" i="46" s="1"/>
  <c r="K42" i="28"/>
  <c r="F6" i="15"/>
  <c r="O28" i="36"/>
  <c r="P28" i="36" s="1"/>
  <c r="O42" i="28"/>
  <c r="P38" i="36"/>
  <c r="P35" i="36"/>
  <c r="P36" i="36"/>
  <c r="Q37" i="28"/>
  <c r="Q35" i="28"/>
  <c r="Q36" i="28"/>
  <c r="Q39" i="28"/>
  <c r="Q34" i="28"/>
  <c r="P42" i="28" s="1"/>
  <c r="Q38" i="28"/>
  <c r="P37" i="36"/>
  <c r="P39" i="36"/>
  <c r="K13" i="54"/>
  <c r="K13" i="46"/>
  <c r="AT25" i="44"/>
  <c r="AL26" i="44"/>
  <c r="AN25" i="44"/>
  <c r="AP16" i="44"/>
  <c r="AQ16" i="44"/>
  <c r="U11" i="44"/>
  <c r="AE15" i="44"/>
  <c r="AD16" i="44" s="1"/>
  <c r="AF15" i="44"/>
  <c r="AH15" i="44" s="1"/>
  <c r="AJ15" i="44" s="1"/>
  <c r="X10" i="44"/>
  <c r="W10" i="44"/>
  <c r="Y10" i="44" s="1"/>
  <c r="AA26" i="44"/>
  <c r="AI26" i="44" s="1"/>
  <c r="AC25" i="44"/>
  <c r="T11" i="44"/>
  <c r="S12" i="44" s="1"/>
  <c r="I42" i="36"/>
  <c r="J42" i="36" s="1"/>
  <c r="I28" i="36"/>
  <c r="J28" i="36" s="1"/>
  <c r="C21" i="28"/>
  <c r="C16" i="27" s="1"/>
  <c r="F28" i="54" s="1"/>
  <c r="F16" i="46"/>
  <c r="F15" i="54"/>
  <c r="J42" i="6"/>
  <c r="K42" i="6" s="1"/>
  <c r="Q37" i="6"/>
  <c r="F34" i="46"/>
  <c r="K4" i="15"/>
  <c r="L7" i="15"/>
  <c r="L34" i="46"/>
  <c r="L17" i="46"/>
  <c r="G8" i="40"/>
  <c r="H8" i="40" s="1"/>
  <c r="M14" i="44"/>
  <c r="M11" i="44"/>
  <c r="M10" i="44"/>
  <c r="M9" i="44"/>
  <c r="M13" i="44"/>
  <c r="M8" i="44"/>
  <c r="M12" i="44"/>
  <c r="G26" i="44"/>
  <c r="G28" i="44"/>
  <c r="G27" i="44"/>
  <c r="M23" i="44"/>
  <c r="G24" i="44"/>
  <c r="G25" i="44"/>
  <c r="G29" i="44"/>
  <c r="H28" i="44"/>
  <c r="N23" i="44"/>
  <c r="H29" i="44"/>
  <c r="H27" i="44"/>
  <c r="H26" i="44"/>
  <c r="H25" i="44"/>
  <c r="H24" i="44"/>
  <c r="F17" i="44"/>
  <c r="N9" i="44"/>
  <c r="N10" i="44"/>
  <c r="N8" i="44"/>
  <c r="N14" i="44"/>
  <c r="N11" i="44"/>
  <c r="N13" i="44"/>
  <c r="N12" i="44"/>
  <c r="G17" i="44"/>
  <c r="Q36" i="6"/>
  <c r="Q35" i="6"/>
  <c r="Q34" i="6"/>
  <c r="G10" i="40"/>
  <c r="H10" i="40" s="1"/>
  <c r="G7" i="40"/>
  <c r="H7" i="40" s="1"/>
  <c r="G9" i="40"/>
  <c r="H9" i="40" s="1"/>
  <c r="G6" i="40"/>
  <c r="H6" i="40" s="1"/>
  <c r="C20" i="32"/>
  <c r="C21" i="32" s="1"/>
  <c r="C17" i="35"/>
  <c r="C18" i="35" s="1"/>
  <c r="J28" i="22"/>
  <c r="K28" i="22" s="1"/>
  <c r="P12" i="27"/>
  <c r="O42" i="6"/>
  <c r="C17" i="6" s="1"/>
  <c r="P8" i="27"/>
  <c r="O42" i="24"/>
  <c r="P10" i="27"/>
  <c r="P6" i="27"/>
  <c r="P11" i="27"/>
  <c r="P9" i="27"/>
  <c r="P28" i="22"/>
  <c r="Q28" i="22" s="1"/>
  <c r="P24" i="35"/>
  <c r="P25" i="35"/>
  <c r="P17" i="22"/>
  <c r="Q17" i="22" s="1"/>
  <c r="I28" i="35"/>
  <c r="J28" i="35" s="1"/>
  <c r="J28" i="32"/>
  <c r="K28" i="32" s="1"/>
  <c r="C24" i="31"/>
  <c r="I27" i="54" s="1"/>
  <c r="I28" i="10"/>
  <c r="J28" i="10" s="1"/>
  <c r="Q10" i="27"/>
  <c r="Q9" i="27"/>
  <c r="C17" i="10"/>
  <c r="C18" i="10" s="1"/>
  <c r="Q8" i="27"/>
  <c r="Q7" i="27"/>
  <c r="Q12" i="27"/>
  <c r="Q6" i="27"/>
  <c r="P28" i="32"/>
  <c r="Q28" i="32" s="1"/>
  <c r="Q17" i="6"/>
  <c r="J42" i="33"/>
  <c r="K28" i="54" s="1"/>
  <c r="K32" i="54" s="1"/>
  <c r="P17" i="32"/>
  <c r="Q17" i="32" s="1"/>
  <c r="C70" i="34"/>
  <c r="O15" i="27"/>
  <c r="I42" i="35"/>
  <c r="P9" i="10"/>
  <c r="I17" i="10"/>
  <c r="J17" i="10" s="1"/>
  <c r="P10" i="10"/>
  <c r="P14" i="10"/>
  <c r="P12" i="10"/>
  <c r="P13" i="10"/>
  <c r="P8" i="10"/>
  <c r="J15" i="27"/>
  <c r="O17" i="36"/>
  <c r="P17" i="36" s="1"/>
  <c r="Q17" i="28"/>
  <c r="O17" i="31"/>
  <c r="P17" i="31" s="1"/>
  <c r="C16" i="31"/>
  <c r="C17" i="31" s="1"/>
  <c r="C18" i="31" s="1"/>
  <c r="L28" i="34"/>
  <c r="M28" i="34" s="1"/>
  <c r="S23" i="34"/>
  <c r="S24" i="34"/>
  <c r="P13" i="35"/>
  <c r="I15" i="27"/>
  <c r="C28" i="26"/>
  <c r="O42" i="33"/>
  <c r="C17" i="33" s="1"/>
  <c r="C26" i="32"/>
  <c r="Q17" i="24"/>
  <c r="C28" i="34"/>
  <c r="C16" i="6"/>
  <c r="C23" i="10"/>
  <c r="P9" i="35"/>
  <c r="L11" i="34"/>
  <c r="L14" i="34"/>
  <c r="L12" i="34"/>
  <c r="L9" i="34"/>
  <c r="S7" i="34"/>
  <c r="L13" i="34"/>
  <c r="L10" i="34"/>
  <c r="L8" i="34"/>
  <c r="C19" i="34"/>
  <c r="C20" i="34" s="1"/>
  <c r="C31" i="34"/>
  <c r="C66" i="34"/>
  <c r="P11" i="35"/>
  <c r="I17" i="35"/>
  <c r="J17" i="35" s="1"/>
  <c r="P14" i="35"/>
  <c r="P12" i="35"/>
  <c r="P10" i="35"/>
  <c r="Q17" i="33"/>
  <c r="C16" i="33"/>
  <c r="O42" i="31"/>
  <c r="P42" i="31" s="1"/>
  <c r="Q42" i="26"/>
  <c r="K42" i="26"/>
  <c r="S9" i="26"/>
  <c r="S8" i="26"/>
  <c r="S10" i="26"/>
  <c r="S12" i="26"/>
  <c r="S14" i="26"/>
  <c r="S11" i="26"/>
  <c r="S13" i="26"/>
  <c r="S25" i="26"/>
  <c r="S23" i="26"/>
  <c r="S24" i="26"/>
  <c r="L17" i="26"/>
  <c r="C17" i="26"/>
  <c r="C20" i="26" s="1"/>
  <c r="S33" i="26"/>
  <c r="L34" i="26"/>
  <c r="L42" i="26" s="1"/>
  <c r="R38" i="26"/>
  <c r="R34" i="26"/>
  <c r="R37" i="26"/>
  <c r="R35" i="26"/>
  <c r="R36" i="26"/>
  <c r="L28" i="26"/>
  <c r="O42" i="10"/>
  <c r="P42" i="10" s="1"/>
  <c r="M42" i="34"/>
  <c r="O42" i="35"/>
  <c r="P42" i="35" s="1"/>
  <c r="P42" i="33"/>
  <c r="R42" i="34"/>
  <c r="C57" i="34" s="1"/>
  <c r="C58" i="34" s="1"/>
  <c r="S34" i="34"/>
  <c r="S38" i="34"/>
  <c r="S36" i="34"/>
  <c r="S35" i="34"/>
  <c r="S37" i="34"/>
  <c r="C77" i="52" l="1"/>
  <c r="C82" i="52" s="1"/>
  <c r="C69" i="52"/>
  <c r="C71" i="52" s="1"/>
  <c r="F13" i="54"/>
  <c r="F19" i="54" s="1"/>
  <c r="F21" i="54" s="1"/>
  <c r="F13" i="46"/>
  <c r="Q42" i="28"/>
  <c r="F4" i="15"/>
  <c r="F10" i="15" s="1"/>
  <c r="C25" i="22"/>
  <c r="G15" i="54"/>
  <c r="G6" i="15"/>
  <c r="O42" i="36"/>
  <c r="P42" i="36" s="1"/>
  <c r="AQ17" i="44"/>
  <c r="AP17" i="44"/>
  <c r="AT26" i="44"/>
  <c r="AL27" i="44"/>
  <c r="AN26" i="44"/>
  <c r="U12" i="44"/>
  <c r="AE16" i="44"/>
  <c r="AD17" i="44" s="1"/>
  <c r="AF16" i="44"/>
  <c r="AH16" i="44" s="1"/>
  <c r="AJ16" i="44" s="1"/>
  <c r="X11" i="44"/>
  <c r="W11" i="44"/>
  <c r="Y11" i="44" s="1"/>
  <c r="AA27" i="44"/>
  <c r="AI27" i="44" s="1"/>
  <c r="AC26" i="44"/>
  <c r="T12" i="44"/>
  <c r="S13" i="44" s="1"/>
  <c r="C23" i="36"/>
  <c r="G28" i="54" s="1"/>
  <c r="C23" i="28"/>
  <c r="C35" i="6" s="1"/>
  <c r="C24" i="36"/>
  <c r="G27" i="54" s="1"/>
  <c r="K42" i="33"/>
  <c r="G16" i="46"/>
  <c r="H17" i="44"/>
  <c r="L17" i="44"/>
  <c r="G32" i="44"/>
  <c r="N29" i="44"/>
  <c r="N27" i="44"/>
  <c r="N24" i="44"/>
  <c r="N28" i="44"/>
  <c r="N25" i="44"/>
  <c r="N26" i="44"/>
  <c r="F32" i="44"/>
  <c r="M26" i="44"/>
  <c r="M29" i="44"/>
  <c r="M25" i="44"/>
  <c r="M24" i="44"/>
  <c r="M27" i="44"/>
  <c r="M28" i="44"/>
  <c r="M17" i="44"/>
  <c r="P42" i="6"/>
  <c r="Q42" i="6" s="1"/>
  <c r="E37" i="22"/>
  <c r="J42" i="35"/>
  <c r="C27" i="22"/>
  <c r="C20" i="6"/>
  <c r="C21" i="6" s="1"/>
  <c r="P15" i="27"/>
  <c r="C5" i="27" s="1"/>
  <c r="O28" i="35"/>
  <c r="P28" i="35" s="1"/>
  <c r="C24" i="10"/>
  <c r="I14" i="54" s="1"/>
  <c r="Q15" i="27"/>
  <c r="C14" i="27" s="1"/>
  <c r="F26" i="54" s="1"/>
  <c r="F32" i="54" s="1"/>
  <c r="C22" i="36"/>
  <c r="G26" i="54" s="1"/>
  <c r="C27" i="32"/>
  <c r="E37" i="32"/>
  <c r="C25" i="32"/>
  <c r="C20" i="33"/>
  <c r="C21" i="33" s="1"/>
  <c r="Q42" i="33"/>
  <c r="S28" i="34"/>
  <c r="T28" i="34" s="1"/>
  <c r="O17" i="10"/>
  <c r="P17" i="10" s="1"/>
  <c r="C22" i="31"/>
  <c r="I26" i="54" s="1"/>
  <c r="I32" i="54" s="1"/>
  <c r="O17" i="35"/>
  <c r="P17" i="35" s="1"/>
  <c r="C29" i="34"/>
  <c r="C33" i="34" s="1"/>
  <c r="C37" i="34" s="1"/>
  <c r="C34" i="34" s="1"/>
  <c r="C29" i="6"/>
  <c r="K15" i="54" s="1"/>
  <c r="K19" i="54" s="1"/>
  <c r="C35" i="34"/>
  <c r="C21" i="34"/>
  <c r="L17" i="34"/>
  <c r="M17" i="34" s="1"/>
  <c r="C23" i="35"/>
  <c r="S10" i="34"/>
  <c r="S14" i="34"/>
  <c r="S9" i="34"/>
  <c r="S12" i="34"/>
  <c r="S13" i="34"/>
  <c r="S11" i="34"/>
  <c r="S8" i="34"/>
  <c r="C29" i="33"/>
  <c r="C33" i="33" s="1"/>
  <c r="C37" i="33" s="1"/>
  <c r="C34" i="33" s="1"/>
  <c r="M42" i="26"/>
  <c r="C35" i="26"/>
  <c r="C21" i="26"/>
  <c r="M17" i="26"/>
  <c r="M28" i="26"/>
  <c r="S28" i="26"/>
  <c r="T28" i="26" s="1"/>
  <c r="S17" i="26"/>
  <c r="T17" i="26" s="1"/>
  <c r="R42" i="26"/>
  <c r="C57" i="26" s="1"/>
  <c r="C58" i="26" s="1"/>
  <c r="C59" i="26" s="1"/>
  <c r="S34" i="26"/>
  <c r="S38" i="26"/>
  <c r="S35" i="26"/>
  <c r="S37" i="26"/>
  <c r="S36" i="26"/>
  <c r="S42" i="34"/>
  <c r="C59" i="34"/>
  <c r="F33" i="54" l="1"/>
  <c r="F34" i="54" s="1"/>
  <c r="F44" i="54" s="1"/>
  <c r="F12" i="15"/>
  <c r="F43" i="54" s="1"/>
  <c r="K33" i="54"/>
  <c r="K39" i="54" s="1"/>
  <c r="C8" i="27"/>
  <c r="C9" i="27" s="1"/>
  <c r="C11" i="27" s="1"/>
  <c r="K20" i="54"/>
  <c r="K21" i="54" s="1"/>
  <c r="C24" i="35"/>
  <c r="G14" i="54" s="1"/>
  <c r="I33" i="54"/>
  <c r="I39" i="54" s="1"/>
  <c r="C28" i="22"/>
  <c r="C31" i="22" s="1"/>
  <c r="C32" i="22" s="1"/>
  <c r="C53" i="22" s="1"/>
  <c r="C75" i="52"/>
  <c r="C80" i="52" s="1"/>
  <c r="C81" i="52" s="1"/>
  <c r="C35" i="51"/>
  <c r="C38" i="51" s="1"/>
  <c r="C40" i="51" s="1"/>
  <c r="C35" i="33"/>
  <c r="C38" i="33" s="1"/>
  <c r="C40" i="33" s="1"/>
  <c r="C75" i="26"/>
  <c r="AP18" i="44"/>
  <c r="AQ18" i="44"/>
  <c r="AT27" i="44"/>
  <c r="AL28" i="44"/>
  <c r="AN27" i="44"/>
  <c r="AF17" i="44"/>
  <c r="AH17" i="44" s="1"/>
  <c r="AJ17" i="44" s="1"/>
  <c r="AE17" i="44"/>
  <c r="AD18" i="44" s="1"/>
  <c r="T13" i="44"/>
  <c r="S14" i="44" s="1"/>
  <c r="X12" i="44"/>
  <c r="W12" i="44"/>
  <c r="Y12" i="44" s="1"/>
  <c r="AA28" i="44"/>
  <c r="AI28" i="44" s="1"/>
  <c r="AC27" i="44"/>
  <c r="U13" i="44"/>
  <c r="G32" i="54"/>
  <c r="G33" i="54" s="1"/>
  <c r="G34" i="54" s="1"/>
  <c r="G44" i="54" s="1"/>
  <c r="I5" i="15"/>
  <c r="I15" i="46"/>
  <c r="K16" i="46"/>
  <c r="H32" i="44"/>
  <c r="N17" i="44"/>
  <c r="B12" i="44" s="1"/>
  <c r="L32" i="44"/>
  <c r="M32" i="44"/>
  <c r="C33" i="6"/>
  <c r="C37" i="6" s="1"/>
  <c r="C34" i="6" s="1"/>
  <c r="K6" i="15"/>
  <c r="K10" i="15" s="1"/>
  <c r="K12" i="15" s="1"/>
  <c r="C28" i="32"/>
  <c r="C30" i="32" s="1"/>
  <c r="C65" i="34"/>
  <c r="L27" i="54" s="1"/>
  <c r="C26" i="36"/>
  <c r="C28" i="36" s="1"/>
  <c r="C30" i="36" s="1"/>
  <c r="C22" i="10"/>
  <c r="C26" i="31"/>
  <c r="C27" i="31" s="1"/>
  <c r="C63" i="26"/>
  <c r="C76" i="34"/>
  <c r="C18" i="27"/>
  <c r="C75" i="34" s="1"/>
  <c r="C22" i="35"/>
  <c r="C29" i="26"/>
  <c r="C33" i="26" s="1"/>
  <c r="C76" i="26" s="1"/>
  <c r="T42" i="34"/>
  <c r="C64" i="34"/>
  <c r="L28" i="54" s="1"/>
  <c r="S17" i="34"/>
  <c r="C65" i="26"/>
  <c r="L14" i="54" s="1"/>
  <c r="C38" i="34"/>
  <c r="C40" i="34" s="1"/>
  <c r="S42" i="26"/>
  <c r="F39" i="54" l="1"/>
  <c r="K11" i="15"/>
  <c r="K38" i="54" s="1"/>
  <c r="C21" i="43"/>
  <c r="G18" i="43" s="1"/>
  <c r="H18" i="43" s="1"/>
  <c r="C8" i="43"/>
  <c r="G5" i="43" s="1"/>
  <c r="H5" i="43" s="1"/>
  <c r="C8" i="40"/>
  <c r="G4" i="40" s="1"/>
  <c r="H4" i="40" s="1"/>
  <c r="L8" i="40" s="1"/>
  <c r="I34" i="54"/>
  <c r="I44" i="54" s="1"/>
  <c r="G15" i="46"/>
  <c r="G5" i="15"/>
  <c r="K34" i="54"/>
  <c r="K44" i="54" s="1"/>
  <c r="C30" i="22"/>
  <c r="I13" i="54"/>
  <c r="I19" i="54" s="1"/>
  <c r="I20" i="54" s="1"/>
  <c r="I21" i="54" s="1"/>
  <c r="I13" i="46"/>
  <c r="L13" i="54"/>
  <c r="L13" i="46"/>
  <c r="G39" i="54"/>
  <c r="G13" i="54"/>
  <c r="G19" i="54" s="1"/>
  <c r="G20" i="54" s="1"/>
  <c r="G21" i="54" s="1"/>
  <c r="G13" i="46"/>
  <c r="AP19" i="44"/>
  <c r="AQ19" i="44"/>
  <c r="AT28" i="44"/>
  <c r="AN28" i="44"/>
  <c r="AL29" i="44"/>
  <c r="AE18" i="44"/>
  <c r="AD19" i="44" s="1"/>
  <c r="AF18" i="44"/>
  <c r="AH18" i="44" s="1"/>
  <c r="AJ18" i="44" s="1"/>
  <c r="X13" i="44"/>
  <c r="W13" i="44"/>
  <c r="Y13" i="44" s="1"/>
  <c r="AA29" i="44"/>
  <c r="AI29" i="44" s="1"/>
  <c r="AC28" i="44"/>
  <c r="T14" i="44"/>
  <c r="S15" i="44" s="1"/>
  <c r="C26" i="10"/>
  <c r="C27" i="10" s="1"/>
  <c r="C26" i="35"/>
  <c r="C27" i="35" s="1"/>
  <c r="L5" i="15"/>
  <c r="L15" i="46"/>
  <c r="L4" i="15"/>
  <c r="N32" i="44"/>
  <c r="B13" i="44" s="1"/>
  <c r="B14" i="44" s="1"/>
  <c r="C38" i="6"/>
  <c r="C40" i="6" s="1"/>
  <c r="C31" i="32"/>
  <c r="C32" i="32" s="1"/>
  <c r="C53" i="32" s="1"/>
  <c r="C27" i="36"/>
  <c r="I4" i="15"/>
  <c r="I10" i="15" s="1"/>
  <c r="I11" i="15" s="1"/>
  <c r="I38" i="54" s="1"/>
  <c r="C28" i="31"/>
  <c r="C30" i="31" s="1"/>
  <c r="G4" i="15"/>
  <c r="C37" i="26"/>
  <c r="C34" i="26" s="1"/>
  <c r="T42" i="26"/>
  <c r="C64" i="26"/>
  <c r="L15" i="54" s="1"/>
  <c r="T17" i="34"/>
  <c r="C63" i="34"/>
  <c r="L26" i="54" s="1"/>
  <c r="L32" i="54" s="1"/>
  <c r="L33" i="54" s="1"/>
  <c r="G19" i="43" l="1"/>
  <c r="H19" i="43" s="1"/>
  <c r="L21" i="43" s="1"/>
  <c r="L4" i="40"/>
  <c r="G6" i="43"/>
  <c r="H6" i="43" s="1"/>
  <c r="L4" i="43" s="1"/>
  <c r="G10" i="15"/>
  <c r="G11" i="15" s="1"/>
  <c r="G38" i="54" s="1"/>
  <c r="L19" i="54"/>
  <c r="L20" i="54" s="1"/>
  <c r="L21" i="54" s="1"/>
  <c r="AT29" i="44"/>
  <c r="AN29" i="44"/>
  <c r="AL30" i="44"/>
  <c r="AP20" i="44"/>
  <c r="AQ20" i="44"/>
  <c r="B15" i="44"/>
  <c r="C6" i="46" s="1"/>
  <c r="B16" i="44"/>
  <c r="B17" i="44" s="1"/>
  <c r="O3" i="46"/>
  <c r="AE19" i="44"/>
  <c r="AD20" i="44" s="1"/>
  <c r="AF19" i="44"/>
  <c r="AH19" i="44" s="1"/>
  <c r="AJ19" i="44" s="1"/>
  <c r="AI23" i="44"/>
  <c r="AA30" i="44"/>
  <c r="AI30" i="44" s="1"/>
  <c r="AC29" i="44"/>
  <c r="U14" i="44"/>
  <c r="T15" i="44"/>
  <c r="S16" i="44" s="1"/>
  <c r="L34" i="54"/>
  <c r="L44" i="54" s="1"/>
  <c r="L39" i="54"/>
  <c r="C28" i="10"/>
  <c r="C30" i="10" s="1"/>
  <c r="C28" i="35"/>
  <c r="C30" i="35" s="1"/>
  <c r="L16" i="46"/>
  <c r="K43" i="54"/>
  <c r="C38" i="26"/>
  <c r="C40" i="26" s="1"/>
  <c r="C67" i="34"/>
  <c r="L6" i="15"/>
  <c r="L10" i="15" s="1"/>
  <c r="C67" i="26"/>
  <c r="L8" i="43" l="1"/>
  <c r="L17" i="43"/>
  <c r="G12" i="15"/>
  <c r="G43" i="54" s="1"/>
  <c r="B27" i="44"/>
  <c r="B21" i="44"/>
  <c r="AT30" i="44"/>
  <c r="AL31" i="44"/>
  <c r="AN30" i="44"/>
  <c r="AQ21" i="44"/>
  <c r="AP21" i="44"/>
  <c r="AF20" i="44"/>
  <c r="AH20" i="44" s="1"/>
  <c r="AJ20" i="44" s="1"/>
  <c r="AE20" i="44"/>
  <c r="AD21" i="44" s="1"/>
  <c r="X14" i="44"/>
  <c r="W14" i="44"/>
  <c r="Y14" i="44" s="1"/>
  <c r="AC30" i="44"/>
  <c r="AA31" i="44"/>
  <c r="AI31" i="44" s="1"/>
  <c r="U15" i="44"/>
  <c r="T16" i="44"/>
  <c r="S17" i="44" s="1"/>
  <c r="I12" i="15"/>
  <c r="I43" i="54" s="1"/>
  <c r="C77" i="26"/>
  <c r="C69" i="26"/>
  <c r="C71" i="26" s="1"/>
  <c r="C68" i="26"/>
  <c r="L11" i="15"/>
  <c r="L38" i="54" s="1"/>
  <c r="C68" i="34"/>
  <c r="C77" i="34"/>
  <c r="C69" i="34"/>
  <c r="C71" i="34" s="1"/>
  <c r="V56" i="44" l="1"/>
  <c r="V12" i="44"/>
  <c r="V46" i="44"/>
  <c r="V48" i="44"/>
  <c r="V67" i="44"/>
  <c r="V17" i="44"/>
  <c r="V61" i="44"/>
  <c r="V52" i="44"/>
  <c r="V44" i="44"/>
  <c r="V50" i="44"/>
  <c r="V27" i="44"/>
  <c r="V57" i="44"/>
  <c r="V43" i="44"/>
  <c r="V40" i="44"/>
  <c r="V66" i="44"/>
  <c r="V38" i="44"/>
  <c r="V36" i="44"/>
  <c r="V11" i="44"/>
  <c r="V3" i="44"/>
  <c r="V5" i="44"/>
  <c r="V58" i="44"/>
  <c r="V14" i="44"/>
  <c r="V9" i="44"/>
  <c r="V15" i="44"/>
  <c r="V31" i="44"/>
  <c r="V28" i="44"/>
  <c r="V47" i="44"/>
  <c r="V54" i="44"/>
  <c r="V34" i="44"/>
  <c r="V64" i="44"/>
  <c r="V29" i="44"/>
  <c r="V23" i="44"/>
  <c r="V30" i="44"/>
  <c r="V39" i="44"/>
  <c r="V41" i="44"/>
  <c r="V59" i="44"/>
  <c r="V63" i="44"/>
  <c r="V62" i="44"/>
  <c r="V42" i="44"/>
  <c r="V8" i="44"/>
  <c r="V49" i="44"/>
  <c r="V13" i="44"/>
  <c r="V35" i="44"/>
  <c r="V55" i="44"/>
  <c r="V45" i="44"/>
  <c r="V10" i="44"/>
  <c r="V33" i="44"/>
  <c r="V32" i="44"/>
  <c r="V53" i="44"/>
  <c r="V51" i="44"/>
  <c r="V26" i="44"/>
  <c r="V7" i="44"/>
  <c r="V4" i="44"/>
  <c r="V65" i="44"/>
  <c r="V20" i="44"/>
  <c r="V22" i="44"/>
  <c r="V24" i="44"/>
  <c r="V16" i="44"/>
  <c r="V68" i="44"/>
  <c r="V18" i="44"/>
  <c r="V19" i="44"/>
  <c r="V6" i="44"/>
  <c r="V60" i="44"/>
  <c r="V37" i="44"/>
  <c r="V21" i="44"/>
  <c r="V25" i="44"/>
  <c r="AP22" i="44"/>
  <c r="AQ22" i="44"/>
  <c r="AT31" i="44"/>
  <c r="AN31" i="44"/>
  <c r="AL32" i="44"/>
  <c r="AE21" i="44"/>
  <c r="AD22" i="44" s="1"/>
  <c r="AF21" i="44"/>
  <c r="AH21" i="44" s="1"/>
  <c r="AJ21" i="44" s="1"/>
  <c r="W15" i="44"/>
  <c r="Y15" i="44" s="1"/>
  <c r="X15" i="44"/>
  <c r="AA32" i="44"/>
  <c r="AI32" i="44" s="1"/>
  <c r="AC31" i="44"/>
  <c r="U16" i="44"/>
  <c r="T17" i="44"/>
  <c r="S18" i="44" s="1"/>
  <c r="C82" i="34"/>
  <c r="C80" i="34"/>
  <c r="C81" i="34" s="1"/>
  <c r="L12" i="15"/>
  <c r="L43" i="54" s="1"/>
  <c r="C80" i="26"/>
  <c r="C81" i="26" s="1"/>
  <c r="C82" i="26"/>
  <c r="AT32" i="44" l="1"/>
  <c r="AN32" i="44"/>
  <c r="AL33" i="44"/>
  <c r="AF22" i="44"/>
  <c r="AH22" i="44" s="1"/>
  <c r="AJ22" i="44" s="1"/>
  <c r="AE22" i="44"/>
  <c r="AD23" i="44"/>
  <c r="W16" i="44"/>
  <c r="Y16" i="44" s="1"/>
  <c r="X16" i="44"/>
  <c r="AC32" i="44"/>
  <c r="AA33" i="44"/>
  <c r="AI33" i="44" s="1"/>
  <c r="U17" i="44"/>
  <c r="T18" i="44"/>
  <c r="S19" i="44" s="1"/>
  <c r="AT33" i="44" l="1"/>
  <c r="AL34" i="44"/>
  <c r="AN33" i="44"/>
  <c r="AF23" i="44"/>
  <c r="AH23" i="44" s="1"/>
  <c r="AJ23" i="44" s="1"/>
  <c r="AE23" i="44"/>
  <c r="AD24" i="44" s="1"/>
  <c r="W17" i="44"/>
  <c r="Y17" i="44" s="1"/>
  <c r="X17" i="44"/>
  <c r="AA34" i="44"/>
  <c r="AI34" i="44" s="1"/>
  <c r="AC33" i="44"/>
  <c r="U18" i="44"/>
  <c r="T19" i="44"/>
  <c r="S20" i="44" s="1"/>
  <c r="AT34" i="44" l="1"/>
  <c r="AL35" i="44"/>
  <c r="AN34" i="44"/>
  <c r="AF24" i="44"/>
  <c r="AH24" i="44" s="1"/>
  <c r="AJ24" i="44" s="1"/>
  <c r="AE24" i="44"/>
  <c r="AD25" i="44" s="1"/>
  <c r="W18" i="44"/>
  <c r="Y18" i="44" s="1"/>
  <c r="X18" i="44"/>
  <c r="AA35" i="44"/>
  <c r="AI35" i="44" s="1"/>
  <c r="AC34" i="44"/>
  <c r="U19" i="44"/>
  <c r="T20" i="44"/>
  <c r="S21" i="44" s="1"/>
  <c r="AT35" i="44" l="1"/>
  <c r="AL36" i="44"/>
  <c r="AN35" i="44"/>
  <c r="AE25" i="44"/>
  <c r="AD26" i="44" s="1"/>
  <c r="AF25" i="44"/>
  <c r="AH25" i="44" s="1"/>
  <c r="AJ25" i="44" s="1"/>
  <c r="X19" i="44"/>
  <c r="W19" i="44"/>
  <c r="Y19" i="44" s="1"/>
  <c r="AA36" i="44"/>
  <c r="AI36" i="44" s="1"/>
  <c r="AC35" i="44"/>
  <c r="U20" i="44"/>
  <c r="T21" i="44"/>
  <c r="S22" i="44" s="1"/>
  <c r="AT36" i="44" l="1"/>
  <c r="AN36" i="44"/>
  <c r="AL37" i="44"/>
  <c r="X20" i="44"/>
  <c r="W20" i="44"/>
  <c r="Y20" i="44" s="1"/>
  <c r="AE26" i="44"/>
  <c r="AD27" i="44" s="1"/>
  <c r="AF26" i="44"/>
  <c r="AH26" i="44" s="1"/>
  <c r="AJ26" i="44" s="1"/>
  <c r="AA37" i="44"/>
  <c r="AI37" i="44" s="1"/>
  <c r="AC36" i="44"/>
  <c r="U21" i="44"/>
  <c r="T22" i="44"/>
  <c r="S23" i="44" s="1"/>
  <c r="AT37" i="44" l="1"/>
  <c r="AL38" i="44"/>
  <c r="AN37" i="44"/>
  <c r="AF27" i="44"/>
  <c r="AH27" i="44" s="1"/>
  <c r="AJ27" i="44" s="1"/>
  <c r="AE27" i="44"/>
  <c r="AD28" i="44" s="1"/>
  <c r="W21" i="44"/>
  <c r="Y21" i="44" s="1"/>
  <c r="X21" i="44"/>
  <c r="AA38" i="44"/>
  <c r="AI38" i="44" s="1"/>
  <c r="AC37" i="44"/>
  <c r="U22" i="44"/>
  <c r="T23" i="44"/>
  <c r="S24" i="44" s="1"/>
  <c r="AT38" i="44" l="1"/>
  <c r="AL39" i="44"/>
  <c r="AN38" i="44"/>
  <c r="AE28" i="44"/>
  <c r="AD29" i="44" s="1"/>
  <c r="AF28" i="44"/>
  <c r="AH28" i="44" s="1"/>
  <c r="AJ28" i="44" s="1"/>
  <c r="W22" i="44"/>
  <c r="Y22" i="44" s="1"/>
  <c r="X22" i="44"/>
  <c r="AC38" i="44"/>
  <c r="AA39" i="44"/>
  <c r="AI39" i="44" s="1"/>
  <c r="U23" i="44"/>
  <c r="T24" i="44"/>
  <c r="S25" i="44" s="1"/>
  <c r="T25" i="44" s="1"/>
  <c r="AT39" i="44" l="1"/>
  <c r="AN39" i="44"/>
  <c r="AL40" i="44"/>
  <c r="W23" i="44"/>
  <c r="Y23" i="44" s="1"/>
  <c r="X23" i="44"/>
  <c r="AE29" i="44"/>
  <c r="AD30" i="44" s="1"/>
  <c r="AF29" i="44"/>
  <c r="AH29" i="44" s="1"/>
  <c r="AJ29" i="44" s="1"/>
  <c r="AA40" i="44"/>
  <c r="AI40" i="44" s="1"/>
  <c r="AC39" i="44"/>
  <c r="U24" i="44"/>
  <c r="S26" i="44"/>
  <c r="AT40" i="44" l="1"/>
  <c r="AN40" i="44"/>
  <c r="AL41" i="44"/>
  <c r="AE30" i="44"/>
  <c r="AD31" i="44" s="1"/>
  <c r="AF30" i="44"/>
  <c r="AH30" i="44" s="1"/>
  <c r="AJ30" i="44" s="1"/>
  <c r="AC40" i="44"/>
  <c r="AA41" i="44"/>
  <c r="AI41" i="44" s="1"/>
  <c r="X24" i="44"/>
  <c r="W24" i="44"/>
  <c r="U25" i="44"/>
  <c r="T26" i="44"/>
  <c r="S27" i="44" s="1"/>
  <c r="AT41" i="44" l="1"/>
  <c r="AL42" i="44"/>
  <c r="AN41" i="44"/>
  <c r="AF31" i="44"/>
  <c r="AH31" i="44" s="1"/>
  <c r="AJ31" i="44" s="1"/>
  <c r="AE31" i="44"/>
  <c r="AD32" i="44" s="1"/>
  <c r="Y24" i="44"/>
  <c r="AA42" i="44"/>
  <c r="AI42" i="44" s="1"/>
  <c r="AC41" i="44"/>
  <c r="W25" i="44"/>
  <c r="X25" i="44"/>
  <c r="U26" i="44"/>
  <c r="T27" i="44"/>
  <c r="S28" i="44" s="1"/>
  <c r="AT42" i="44" l="1"/>
  <c r="AL43" i="44"/>
  <c r="AN42" i="44"/>
  <c r="AF32" i="44"/>
  <c r="AH32" i="44" s="1"/>
  <c r="AJ32" i="44" s="1"/>
  <c r="AE32" i="44"/>
  <c r="AD33" i="44" s="1"/>
  <c r="Y25" i="44"/>
  <c r="AA43" i="44"/>
  <c r="AI43" i="44" s="1"/>
  <c r="AC42" i="44"/>
  <c r="X26" i="44"/>
  <c r="W26" i="44"/>
  <c r="U27" i="44"/>
  <c r="T28" i="44"/>
  <c r="S29" i="44" s="1"/>
  <c r="AT43" i="44" l="1"/>
  <c r="AL44" i="44"/>
  <c r="AN43" i="44"/>
  <c r="AE33" i="44"/>
  <c r="AD34" i="44" s="1"/>
  <c r="AF33" i="44"/>
  <c r="AH33" i="44" s="1"/>
  <c r="AJ33" i="44" s="1"/>
  <c r="Y26" i="44"/>
  <c r="AA44" i="44"/>
  <c r="AI44" i="44" s="1"/>
  <c r="AC43" i="44"/>
  <c r="X27" i="44"/>
  <c r="W27" i="44"/>
  <c r="U28" i="44"/>
  <c r="T29" i="44"/>
  <c r="S30" i="44" s="1"/>
  <c r="AT44" i="44" l="1"/>
  <c r="AN44" i="44"/>
  <c r="AL45" i="44"/>
  <c r="AF34" i="44"/>
  <c r="AH34" i="44" s="1"/>
  <c r="AJ34" i="44" s="1"/>
  <c r="AE34" i="44"/>
  <c r="AD35" i="44" s="1"/>
  <c r="Y27" i="44"/>
  <c r="AA45" i="44"/>
  <c r="AI45" i="44" s="1"/>
  <c r="AC44" i="44"/>
  <c r="X28" i="44"/>
  <c r="W28" i="44"/>
  <c r="U29" i="44"/>
  <c r="T30" i="44"/>
  <c r="S31" i="44" s="1"/>
  <c r="AT45" i="44" l="1"/>
  <c r="AL46" i="44"/>
  <c r="AN45" i="44"/>
  <c r="AF35" i="44"/>
  <c r="AH35" i="44" s="1"/>
  <c r="AJ35" i="44" s="1"/>
  <c r="AE35" i="44"/>
  <c r="AD36" i="44" s="1"/>
  <c r="Y28" i="44"/>
  <c r="AA46" i="44"/>
  <c r="AI46" i="44" s="1"/>
  <c r="AC45" i="44"/>
  <c r="X29" i="44"/>
  <c r="W29" i="44"/>
  <c r="U30" i="44"/>
  <c r="T31" i="44"/>
  <c r="S32" i="44" s="1"/>
  <c r="AT46" i="44" l="1"/>
  <c r="AL47" i="44"/>
  <c r="AN46" i="44"/>
  <c r="AE36" i="44"/>
  <c r="AD37" i="44" s="1"/>
  <c r="AF36" i="44"/>
  <c r="AH36" i="44" s="1"/>
  <c r="AJ36" i="44" s="1"/>
  <c r="Y29" i="44"/>
  <c r="AC46" i="44"/>
  <c r="AA47" i="44"/>
  <c r="AI47" i="44" s="1"/>
  <c r="W30" i="44"/>
  <c r="X30" i="44"/>
  <c r="U31" i="44"/>
  <c r="T32" i="44"/>
  <c r="S33" i="44" s="1"/>
  <c r="AT47" i="44" l="1"/>
  <c r="AN47" i="44"/>
  <c r="AL48" i="44"/>
  <c r="AF37" i="44"/>
  <c r="AH37" i="44" s="1"/>
  <c r="AJ37" i="44" s="1"/>
  <c r="AE37" i="44"/>
  <c r="AD38" i="44" s="1"/>
  <c r="Y30" i="44"/>
  <c r="AA48" i="44"/>
  <c r="AI48" i="44" s="1"/>
  <c r="AC47" i="44"/>
  <c r="X31" i="44"/>
  <c r="W31" i="44"/>
  <c r="U32" i="44"/>
  <c r="T33" i="44"/>
  <c r="S34" i="44" s="1"/>
  <c r="AT48" i="44" l="1"/>
  <c r="AN48" i="44"/>
  <c r="AL49" i="44"/>
  <c r="AE38" i="44"/>
  <c r="AD39" i="44" s="1"/>
  <c r="AF38" i="44"/>
  <c r="AH38" i="44" s="1"/>
  <c r="AJ38" i="44" s="1"/>
  <c r="Y31" i="44"/>
  <c r="AA49" i="44"/>
  <c r="AI49" i="44" s="1"/>
  <c r="AC48" i="44"/>
  <c r="X32" i="44"/>
  <c r="W32" i="44"/>
  <c r="U33" i="44"/>
  <c r="T34" i="44"/>
  <c r="S35" i="44" s="1"/>
  <c r="AT49" i="44" l="1"/>
  <c r="AL50" i="44"/>
  <c r="AN49" i="44"/>
  <c r="AE39" i="44"/>
  <c r="AD40" i="44" s="1"/>
  <c r="AF39" i="44"/>
  <c r="AH39" i="44" s="1"/>
  <c r="AJ39" i="44" s="1"/>
  <c r="U2" i="46"/>
  <c r="Y32" i="44"/>
  <c r="AA50" i="44"/>
  <c r="AI50" i="44" s="1"/>
  <c r="AC49" i="44"/>
  <c r="W33" i="44"/>
  <c r="X33" i="44"/>
  <c r="U34" i="44"/>
  <c r="T35" i="44"/>
  <c r="S36" i="44" s="1"/>
  <c r="AT50" i="44" l="1"/>
  <c r="AL51" i="44"/>
  <c r="AN50" i="44"/>
  <c r="AF40" i="44"/>
  <c r="AH40" i="44" s="1"/>
  <c r="AJ40" i="44" s="1"/>
  <c r="AE40" i="44"/>
  <c r="AD41" i="44" s="1"/>
  <c r="U3" i="46"/>
  <c r="Y33" i="44"/>
  <c r="AA51" i="44"/>
  <c r="AI51" i="44" s="1"/>
  <c r="AC50" i="44"/>
  <c r="X34" i="44"/>
  <c r="W34" i="44"/>
  <c r="U35" i="44"/>
  <c r="T36" i="44"/>
  <c r="S37" i="44" s="1"/>
  <c r="AT51" i="44" l="1"/>
  <c r="AL52" i="44"/>
  <c r="AN51" i="44"/>
  <c r="AE41" i="44"/>
  <c r="AD42" i="44" s="1"/>
  <c r="AF41" i="44"/>
  <c r="AH41" i="44" s="1"/>
  <c r="AJ41" i="44" s="1"/>
  <c r="U4" i="46"/>
  <c r="Y34" i="44"/>
  <c r="AA52" i="44"/>
  <c r="AI52" i="44" s="1"/>
  <c r="AC51" i="44"/>
  <c r="X35" i="44"/>
  <c r="W35" i="44"/>
  <c r="U36" i="44"/>
  <c r="T37" i="44"/>
  <c r="S38" i="44" s="1"/>
  <c r="AT52" i="44" l="1"/>
  <c r="AN52" i="44"/>
  <c r="AL53" i="44"/>
  <c r="AF42" i="44"/>
  <c r="AH42" i="44" s="1"/>
  <c r="AJ42" i="44" s="1"/>
  <c r="AE42" i="44"/>
  <c r="AD43" i="44" s="1"/>
  <c r="U5" i="46"/>
  <c r="Y35" i="44"/>
  <c r="AC52" i="44"/>
  <c r="AA53" i="44"/>
  <c r="AI53" i="44" s="1"/>
  <c r="X36" i="44"/>
  <c r="W36" i="44"/>
  <c r="U37" i="44"/>
  <c r="T38" i="44"/>
  <c r="S39" i="44" s="1"/>
  <c r="AT53" i="44" l="1"/>
  <c r="AL54" i="44"/>
  <c r="AN53" i="44"/>
  <c r="AF43" i="44"/>
  <c r="AH43" i="44" s="1"/>
  <c r="AE43" i="44"/>
  <c r="AD44" i="44" s="1"/>
  <c r="U6" i="46"/>
  <c r="Y36" i="44"/>
  <c r="AA54" i="44"/>
  <c r="AI54" i="44" s="1"/>
  <c r="AC53" i="44"/>
  <c r="W37" i="44"/>
  <c r="X37" i="44"/>
  <c r="U38" i="44"/>
  <c r="T39" i="44"/>
  <c r="S40" i="44" s="1"/>
  <c r="AT54" i="44" l="1"/>
  <c r="AL55" i="44"/>
  <c r="AN54" i="44"/>
  <c r="AE44" i="44"/>
  <c r="AD45" i="44" s="1"/>
  <c r="AF44" i="44"/>
  <c r="AH44" i="44" s="1"/>
  <c r="AJ43" i="44"/>
  <c r="U7" i="46"/>
  <c r="Y37" i="44"/>
  <c r="AC54" i="44"/>
  <c r="AA55" i="44"/>
  <c r="AI55" i="44" s="1"/>
  <c r="X38" i="44"/>
  <c r="W38" i="44"/>
  <c r="U39" i="44"/>
  <c r="T40" i="44"/>
  <c r="S41" i="44" s="1"/>
  <c r="AT55" i="44" l="1"/>
  <c r="AN55" i="44"/>
  <c r="AL56" i="44"/>
  <c r="AJ44" i="44"/>
  <c r="AE45" i="44"/>
  <c r="AD46" i="44" s="1"/>
  <c r="AF45" i="44"/>
  <c r="AH45" i="44" s="1"/>
  <c r="U8" i="46"/>
  <c r="Y38" i="44"/>
  <c r="AA56" i="44"/>
  <c r="AC55" i="44"/>
  <c r="W39" i="44"/>
  <c r="X39" i="44"/>
  <c r="U40" i="44"/>
  <c r="U41" i="44"/>
  <c r="AT56" i="44" l="1"/>
  <c r="AN56" i="44"/>
  <c r="AL57" i="44"/>
  <c r="AI56" i="44"/>
  <c r="AJ45" i="44"/>
  <c r="AF46" i="44"/>
  <c r="AH46" i="44" s="1"/>
  <c r="AE46" i="44"/>
  <c r="AD47" i="44" s="1"/>
  <c r="U9" i="46"/>
  <c r="Y39" i="44"/>
  <c r="AA57" i="44"/>
  <c r="AI57" i="44" s="1"/>
  <c r="AC56" i="44"/>
  <c r="X41" i="44"/>
  <c r="W41" i="44"/>
  <c r="X40" i="44"/>
  <c r="W40" i="44"/>
  <c r="T41" i="44"/>
  <c r="S42" i="44" s="1"/>
  <c r="AT57" i="44" l="1"/>
  <c r="AL58" i="44"/>
  <c r="AN57" i="44"/>
  <c r="AF47" i="44"/>
  <c r="AH47" i="44" s="1"/>
  <c r="AE47" i="44"/>
  <c r="AD48" i="44" s="1"/>
  <c r="AJ46" i="44"/>
  <c r="V2" i="46"/>
  <c r="U10" i="46"/>
  <c r="Y40" i="44"/>
  <c r="Y41" i="44" s="1"/>
  <c r="AA58" i="44"/>
  <c r="AC57" i="44"/>
  <c r="T42" i="44"/>
  <c r="S43" i="44" s="1"/>
  <c r="U42" i="44"/>
  <c r="AT58" i="44" l="1"/>
  <c r="AL59" i="44"/>
  <c r="AN58" i="44"/>
  <c r="AI58" i="44"/>
  <c r="AF48" i="44"/>
  <c r="AH48" i="44" s="1"/>
  <c r="AE48" i="44"/>
  <c r="AD49" i="44" s="1"/>
  <c r="AJ47" i="44"/>
  <c r="U11" i="46"/>
  <c r="AA59" i="44"/>
  <c r="AC58" i="44"/>
  <c r="T43" i="44"/>
  <c r="S44" i="44" s="1"/>
  <c r="U43" i="44"/>
  <c r="W42" i="44"/>
  <c r="X42" i="44"/>
  <c r="AT59" i="44" l="1"/>
  <c r="AL60" i="44"/>
  <c r="AN59" i="44"/>
  <c r="AI59" i="44"/>
  <c r="AE49" i="44"/>
  <c r="AD50" i="44" s="1"/>
  <c r="AF49" i="44"/>
  <c r="AH49" i="44" s="1"/>
  <c r="AJ48" i="44"/>
  <c r="V3" i="46"/>
  <c r="U12" i="46"/>
  <c r="Y42" i="44"/>
  <c r="AA60" i="44"/>
  <c r="AC59" i="44"/>
  <c r="T44" i="44"/>
  <c r="S45" i="44" s="1"/>
  <c r="U44" i="44"/>
  <c r="X44" i="44" s="1"/>
  <c r="X43" i="44"/>
  <c r="W43" i="44"/>
  <c r="AT60" i="44" l="1"/>
  <c r="AN60" i="44"/>
  <c r="AL61" i="44"/>
  <c r="AI60" i="44"/>
  <c r="AJ49" i="44"/>
  <c r="AF50" i="44"/>
  <c r="AH50" i="44" s="1"/>
  <c r="AE50" i="44"/>
  <c r="AD51" i="44" s="1"/>
  <c r="V4" i="46"/>
  <c r="U13" i="46"/>
  <c r="Y43" i="44"/>
  <c r="AC60" i="44"/>
  <c r="AA61" i="44"/>
  <c r="W44" i="44"/>
  <c r="T45" i="44"/>
  <c r="S46" i="44" s="1"/>
  <c r="U45" i="44"/>
  <c r="X45" i="44" s="1"/>
  <c r="AT61" i="44" l="1"/>
  <c r="AN61" i="44"/>
  <c r="AL62" i="44"/>
  <c r="AI61" i="44"/>
  <c r="W45" i="44"/>
  <c r="AF51" i="44"/>
  <c r="AH51" i="44" s="1"/>
  <c r="AE51" i="44"/>
  <c r="AD52" i="44" s="1"/>
  <c r="AJ50" i="44"/>
  <c r="V6" i="46"/>
  <c r="V5" i="46"/>
  <c r="U14" i="46"/>
  <c r="Y44" i="44"/>
  <c r="AA62" i="44"/>
  <c r="AC61" i="44"/>
  <c r="T46" i="44"/>
  <c r="S47" i="44" s="1"/>
  <c r="U46" i="44"/>
  <c r="X46" i="44" s="1"/>
  <c r="AT62" i="44" l="1"/>
  <c r="AL63" i="44"/>
  <c r="AN62" i="44"/>
  <c r="Y45" i="44"/>
  <c r="AI62" i="44"/>
  <c r="AF52" i="44"/>
  <c r="AH52" i="44" s="1"/>
  <c r="AE52" i="44"/>
  <c r="AD53" i="44" s="1"/>
  <c r="AJ51" i="44"/>
  <c r="U15" i="46"/>
  <c r="W46" i="44"/>
  <c r="AC62" i="44"/>
  <c r="AA63" i="44"/>
  <c r="AI63" i="44" s="1"/>
  <c r="T47" i="44"/>
  <c r="S48" i="44" s="1"/>
  <c r="U47" i="44"/>
  <c r="W47" i="44" s="1"/>
  <c r="AT63" i="44" l="1"/>
  <c r="AN63" i="44"/>
  <c r="AL64" i="44"/>
  <c r="Y46" i="44"/>
  <c r="Y47" i="44" s="1"/>
  <c r="AF53" i="44"/>
  <c r="AH53" i="44" s="1"/>
  <c r="AE53" i="44"/>
  <c r="AD54" i="44" s="1"/>
  <c r="X47" i="44"/>
  <c r="AJ52" i="44"/>
  <c r="V8" i="46"/>
  <c r="V7" i="46"/>
  <c r="U16" i="46"/>
  <c r="AA64" i="44"/>
  <c r="AC63" i="44"/>
  <c r="T48" i="44"/>
  <c r="S49" i="44" s="1"/>
  <c r="U48" i="44"/>
  <c r="X48" i="44" s="1"/>
  <c r="AT64" i="44" l="1"/>
  <c r="AL65" i="44"/>
  <c r="AN64" i="44"/>
  <c r="AI64" i="44"/>
  <c r="AE54" i="44"/>
  <c r="AD55" i="44" s="1"/>
  <c r="AF54" i="44"/>
  <c r="AH54" i="44" s="1"/>
  <c r="AJ53" i="44"/>
  <c r="U17" i="46"/>
  <c r="W48" i="44"/>
  <c r="AA65" i="44"/>
  <c r="AI65" i="44" s="1"/>
  <c r="AC64" i="44"/>
  <c r="T49" i="44"/>
  <c r="S50" i="44" s="1"/>
  <c r="U49" i="44"/>
  <c r="AT65" i="44" l="1"/>
  <c r="AL66" i="44"/>
  <c r="AN65" i="44"/>
  <c r="Y48" i="44"/>
  <c r="AJ54" i="44"/>
  <c r="AE55" i="44"/>
  <c r="AD56" i="44" s="1"/>
  <c r="AF55" i="44"/>
  <c r="AH55" i="44" s="1"/>
  <c r="V9" i="46"/>
  <c r="U18" i="46"/>
  <c r="AA66" i="44"/>
  <c r="AC65" i="44"/>
  <c r="T50" i="44"/>
  <c r="S51" i="44" s="1"/>
  <c r="X49" i="44"/>
  <c r="W49" i="44"/>
  <c r="U50" i="44"/>
  <c r="AT66" i="44" l="1"/>
  <c r="AL67" i="44"/>
  <c r="AN66" i="44"/>
  <c r="AI66" i="44"/>
  <c r="AJ55" i="44"/>
  <c r="AF56" i="44"/>
  <c r="AH56" i="44" s="1"/>
  <c r="AE56" i="44"/>
  <c r="AD57" i="44" s="1"/>
  <c r="U19" i="46"/>
  <c r="V10" i="46"/>
  <c r="Y49" i="44"/>
  <c r="AA67" i="44"/>
  <c r="AC66" i="44"/>
  <c r="X50" i="44"/>
  <c r="W50" i="44"/>
  <c r="T51" i="44"/>
  <c r="S52" i="44" s="1"/>
  <c r="AT67" i="44" l="1"/>
  <c r="AL68" i="44"/>
  <c r="AN67" i="44"/>
  <c r="AI67" i="44"/>
  <c r="AE57" i="44"/>
  <c r="AD58" i="44" s="1"/>
  <c r="AF57" i="44"/>
  <c r="AH57" i="44" s="1"/>
  <c r="AJ56" i="44"/>
  <c r="V11" i="46"/>
  <c r="U20" i="46"/>
  <c r="Y50" i="44"/>
  <c r="AA68" i="44"/>
  <c r="U48" i="46" s="1"/>
  <c r="AC67" i="44"/>
  <c r="U51" i="44"/>
  <c r="AT68" i="44" l="1"/>
  <c r="AN68" i="44"/>
  <c r="AI68" i="44"/>
  <c r="U49" i="46"/>
  <c r="U47" i="46"/>
  <c r="U50" i="46"/>
  <c r="U51" i="46"/>
  <c r="AJ57" i="44"/>
  <c r="AE58" i="44"/>
  <c r="AD59" i="44" s="1"/>
  <c r="AF58" i="44"/>
  <c r="AH58" i="44" s="1"/>
  <c r="U21" i="46"/>
  <c r="AC68" i="44"/>
  <c r="X51" i="44"/>
  <c r="W51" i="44"/>
  <c r="T52" i="44"/>
  <c r="S53" i="44" s="1"/>
  <c r="AJ58" i="44" l="1"/>
  <c r="U52" i="46"/>
  <c r="AF59" i="44"/>
  <c r="AH59" i="44" s="1"/>
  <c r="AE59" i="44"/>
  <c r="AD60" i="44" s="1"/>
  <c r="U22" i="46"/>
  <c r="V12" i="46"/>
  <c r="Y51" i="44"/>
  <c r="U52" i="44"/>
  <c r="AE60" i="44" l="1"/>
  <c r="AD61" i="44" s="1"/>
  <c r="AF60" i="44"/>
  <c r="AH60" i="44" s="1"/>
  <c r="U29" i="46" s="1"/>
  <c r="AJ59" i="44"/>
  <c r="U53" i="46"/>
  <c r="U23" i="46"/>
  <c r="X52" i="44"/>
  <c r="W52" i="44"/>
  <c r="T53" i="44"/>
  <c r="S54" i="44" s="1"/>
  <c r="AJ60" i="44" l="1"/>
  <c r="U54" i="46"/>
  <c r="AF61" i="44"/>
  <c r="AH61" i="44" s="1"/>
  <c r="U30" i="46" s="1"/>
  <c r="AE61" i="44"/>
  <c r="AD62" i="44" s="1"/>
  <c r="U24" i="46"/>
  <c r="V13" i="46"/>
  <c r="Y52" i="44"/>
  <c r="T54" i="44"/>
  <c r="S55" i="44" s="1"/>
  <c r="U53" i="44"/>
  <c r="U55" i="46" l="1"/>
  <c r="AJ61" i="44"/>
  <c r="AF62" i="44"/>
  <c r="AH62" i="44" s="1"/>
  <c r="U31" i="46" s="1"/>
  <c r="AE62" i="44"/>
  <c r="AD63" i="44" s="1"/>
  <c r="U25" i="46"/>
  <c r="X53" i="44"/>
  <c r="W53" i="44"/>
  <c r="V47" i="46" s="1"/>
  <c r="U54" i="44"/>
  <c r="AF63" i="44" l="1"/>
  <c r="AH63" i="44" s="1"/>
  <c r="U42" i="46" s="1"/>
  <c r="AE63" i="44"/>
  <c r="AD64" i="44" s="1"/>
  <c r="AJ62" i="44"/>
  <c r="U56" i="46"/>
  <c r="U26" i="46"/>
  <c r="V14" i="46"/>
  <c r="Y53" i="44"/>
  <c r="X54" i="44"/>
  <c r="W54" i="44"/>
  <c r="V48" i="46" s="1"/>
  <c r="T55" i="44"/>
  <c r="S56" i="44" s="1"/>
  <c r="U32" i="46" l="1"/>
  <c r="U37" i="46"/>
  <c r="AE64" i="44"/>
  <c r="AD65" i="44" s="1"/>
  <c r="AF64" i="44"/>
  <c r="AH64" i="44" s="1"/>
  <c r="U43" i="46" s="1"/>
  <c r="AJ63" i="44"/>
  <c r="U57" i="46"/>
  <c r="V15" i="46"/>
  <c r="U27" i="46"/>
  <c r="Y54" i="44"/>
  <c r="T56" i="44"/>
  <c r="S57" i="44" s="1"/>
  <c r="U55" i="44"/>
  <c r="U33" i="46" l="1"/>
  <c r="U38" i="46"/>
  <c r="AJ64" i="44"/>
  <c r="U58" i="46"/>
  <c r="AE65" i="44"/>
  <c r="AD66" i="44" s="1"/>
  <c r="AF65" i="44"/>
  <c r="AH65" i="44" s="1"/>
  <c r="U44" i="46" s="1"/>
  <c r="U28" i="46"/>
  <c r="X55" i="44"/>
  <c r="W55" i="44"/>
  <c r="V49" i="46" s="1"/>
  <c r="U56" i="44"/>
  <c r="T57" i="44"/>
  <c r="S58" i="44" s="1"/>
  <c r="U34" i="46" l="1"/>
  <c r="U39" i="46"/>
  <c r="AJ65" i="44"/>
  <c r="U59" i="46"/>
  <c r="AE66" i="44"/>
  <c r="AD67" i="44" s="1"/>
  <c r="AF66" i="44"/>
  <c r="AH66" i="44" s="1"/>
  <c r="U45" i="46" s="1"/>
  <c r="V16" i="46"/>
  <c r="V62" i="46"/>
  <c r="U62" i="46"/>
  <c r="Y55" i="44"/>
  <c r="X56" i="44"/>
  <c r="W56" i="44"/>
  <c r="V50" i="46" s="1"/>
  <c r="U57" i="44"/>
  <c r="T58" i="44"/>
  <c r="S59" i="44" s="1"/>
  <c r="U35" i="46" l="1"/>
  <c r="U40" i="46"/>
  <c r="AE67" i="44"/>
  <c r="AD68" i="44" s="1"/>
  <c r="AF67" i="44"/>
  <c r="AH67" i="44" s="1"/>
  <c r="U46" i="46" s="1"/>
  <c r="AJ66" i="44"/>
  <c r="U60" i="46"/>
  <c r="V17" i="46"/>
  <c r="U63" i="46"/>
  <c r="V63" i="46"/>
  <c r="Y56" i="44"/>
  <c r="X57" i="44"/>
  <c r="W57" i="44"/>
  <c r="V51" i="46" s="1"/>
  <c r="U58" i="44"/>
  <c r="T59" i="44"/>
  <c r="S60" i="44" s="1"/>
  <c r="U36" i="46" l="1"/>
  <c r="U41" i="46"/>
  <c r="AJ67" i="44"/>
  <c r="U61" i="46"/>
  <c r="AE68" i="44"/>
  <c r="AF68" i="44"/>
  <c r="AH68" i="44" s="1"/>
  <c r="V18" i="46"/>
  <c r="V64" i="46"/>
  <c r="U64" i="46"/>
  <c r="Y57" i="44"/>
  <c r="X58" i="44"/>
  <c r="W58" i="44"/>
  <c r="V52" i="46" s="1"/>
  <c r="U59" i="44"/>
  <c r="T60" i="44"/>
  <c r="S61" i="44" s="1"/>
  <c r="O5" i="46" l="1"/>
  <c r="AJ68" i="44"/>
  <c r="V19" i="46"/>
  <c r="U65" i="46"/>
  <c r="V65" i="46"/>
  <c r="Y58" i="44"/>
  <c r="X59" i="44"/>
  <c r="W59" i="44"/>
  <c r="V53" i="46" s="1"/>
  <c r="U60" i="44"/>
  <c r="V20" i="46" l="1"/>
  <c r="V66" i="46"/>
  <c r="U66" i="46"/>
  <c r="Y59" i="44"/>
  <c r="X60" i="44"/>
  <c r="W60" i="44"/>
  <c r="V54" i="46" s="1"/>
  <c r="V29" i="46" l="1"/>
  <c r="V21" i="46"/>
  <c r="U67" i="46"/>
  <c r="V67" i="46"/>
  <c r="Y60" i="44"/>
  <c r="U61" i="44"/>
  <c r="T61" i="44"/>
  <c r="U68" i="46" l="1"/>
  <c r="V68" i="46"/>
  <c r="S62" i="44"/>
  <c r="U62" i="44" s="1"/>
  <c r="W61" i="44"/>
  <c r="V55" i="46" s="1"/>
  <c r="X61" i="44"/>
  <c r="V30" i="46" l="1"/>
  <c r="V22" i="46"/>
  <c r="U69" i="46"/>
  <c r="V69" i="46"/>
  <c r="Y61" i="44"/>
  <c r="T62" i="44"/>
  <c r="S63" i="44" s="1"/>
  <c r="X62" i="44"/>
  <c r="W62" i="44"/>
  <c r="V56" i="46" s="1"/>
  <c r="V31" i="46" l="1"/>
  <c r="V23" i="46"/>
  <c r="V70" i="46"/>
  <c r="U70" i="46"/>
  <c r="Y62" i="44"/>
  <c r="T63" i="44"/>
  <c r="S64" i="44" s="1"/>
  <c r="U63" i="44"/>
  <c r="W63" i="44" s="1"/>
  <c r="V42" i="46" s="1"/>
  <c r="X63" i="44" l="1"/>
  <c r="V57" i="46"/>
  <c r="V37" i="46"/>
  <c r="V32" i="46"/>
  <c r="V24" i="46"/>
  <c r="U71" i="46"/>
  <c r="V71" i="46"/>
  <c r="Y63" i="44"/>
  <c r="T64" i="44"/>
  <c r="S65" i="44" s="1"/>
  <c r="U64" i="44"/>
  <c r="W64" i="44" s="1"/>
  <c r="V43" i="46" s="1"/>
  <c r="V58" i="46" l="1"/>
  <c r="V38" i="46"/>
  <c r="X64" i="44"/>
  <c r="V33" i="46"/>
  <c r="V25" i="46"/>
  <c r="V72" i="46"/>
  <c r="U72" i="46"/>
  <c r="Y64" i="44"/>
  <c r="T65" i="44"/>
  <c r="S66" i="44" s="1"/>
  <c r="U65" i="44"/>
  <c r="U73" i="46" l="1"/>
  <c r="V73" i="46"/>
  <c r="T66" i="44"/>
  <c r="S67" i="44" s="1"/>
  <c r="X65" i="44"/>
  <c r="W65" i="44"/>
  <c r="V44" i="46" s="1"/>
  <c r="U66" i="44"/>
  <c r="V59" i="46" l="1"/>
  <c r="V39" i="46"/>
  <c r="V34" i="46"/>
  <c r="V26" i="46"/>
  <c r="V74" i="46"/>
  <c r="U74" i="46"/>
  <c r="Y65" i="44"/>
  <c r="T67" i="44"/>
  <c r="S68" i="44" s="1"/>
  <c r="U68" i="44" s="1"/>
  <c r="W68" i="44" s="1"/>
  <c r="P5" i="46" s="1"/>
  <c r="X66" i="44"/>
  <c r="W66" i="44"/>
  <c r="V45" i="46" s="1"/>
  <c r="U67" i="44"/>
  <c r="V60" i="46" l="1"/>
  <c r="V40" i="46"/>
  <c r="V35" i="46"/>
  <c r="V27" i="46"/>
  <c r="U75" i="46"/>
  <c r="V75" i="46"/>
  <c r="Y66" i="44"/>
  <c r="X67" i="44"/>
  <c r="W67" i="44"/>
  <c r="V46" i="46" s="1"/>
  <c r="T68" i="44"/>
  <c r="V61" i="46" l="1"/>
  <c r="V41" i="46"/>
  <c r="V36" i="46"/>
  <c r="V28" i="46"/>
  <c r="V76" i="46"/>
  <c r="U76" i="46"/>
  <c r="Y67" i="44"/>
  <c r="Y68" i="44" s="1"/>
  <c r="B23" i="44" s="1"/>
  <c r="X68" i="44"/>
  <c r="B22" i="44" s="1"/>
  <c r="U77" i="46" l="1"/>
  <c r="V77" i="46"/>
  <c r="J14" i="46"/>
  <c r="L14" i="46"/>
  <c r="L20" i="46" s="1"/>
  <c r="K14" i="46"/>
  <c r="K20" i="46" s="1"/>
  <c r="H14" i="46"/>
  <c r="F14" i="46"/>
  <c r="F20" i="46" s="1"/>
  <c r="I14" i="46"/>
  <c r="I20" i="46" s="1"/>
  <c r="G14" i="46"/>
  <c r="G20" i="46" s="1"/>
  <c r="P3" i="46" l="1"/>
  <c r="V78" i="46"/>
  <c r="U78" i="46"/>
  <c r="F35" i="46"/>
  <c r="F22" i="46"/>
  <c r="F47" i="46" s="1"/>
  <c r="I35" i="46"/>
  <c r="I42" i="46" s="1"/>
  <c r="I21" i="46"/>
  <c r="I41" i="46" s="1"/>
  <c r="K21" i="46"/>
  <c r="K41" i="46" s="1"/>
  <c r="G21" i="46"/>
  <c r="G41" i="46" s="1"/>
  <c r="K35" i="46"/>
  <c r="K42" i="46" s="1"/>
  <c r="L21" i="46"/>
  <c r="L41" i="46" s="1"/>
  <c r="L35" i="46"/>
  <c r="G35" i="46"/>
  <c r="G42" i="46" s="1"/>
  <c r="L42" i="46" l="1"/>
  <c r="L43" i="46" s="1"/>
  <c r="L36" i="46"/>
  <c r="L48" i="46" s="1"/>
  <c r="G43" i="46"/>
  <c r="F42" i="46"/>
  <c r="F43" i="46" s="1"/>
  <c r="F36" i="46"/>
  <c r="F48" i="46" s="1"/>
  <c r="I43" i="46"/>
  <c r="K43" i="46"/>
  <c r="S80" i="46"/>
  <c r="U79" i="46"/>
  <c r="V79" i="46"/>
  <c r="G36" i="46"/>
  <c r="G48" i="46" s="1"/>
  <c r="K36" i="46"/>
  <c r="K48" i="46" s="1"/>
  <c r="I22" i="46"/>
  <c r="I47" i="46" s="1"/>
  <c r="L22" i="46"/>
  <c r="L47" i="46" s="1"/>
  <c r="K22" i="46"/>
  <c r="K47" i="46" s="1"/>
  <c r="G22" i="46"/>
  <c r="G47" i="46" s="1"/>
  <c r="I36" i="46"/>
  <c r="I48" i="46" s="1"/>
  <c r="S81" i="46" l="1"/>
  <c r="S82" i="46" s="1"/>
  <c r="S83" i="46" s="1"/>
  <c r="S84" i="46" s="1"/>
  <c r="S85" i="46" s="1"/>
  <c r="S86" i="46" s="1"/>
  <c r="V80" i="46"/>
  <c r="U80" i="46"/>
  <c r="AO23" i="44"/>
  <c r="AP23" i="44" s="1"/>
  <c r="AS23" i="44"/>
  <c r="AU23" i="44" s="1"/>
  <c r="AS24" i="44"/>
  <c r="AU24" i="44" s="1"/>
  <c r="AS25" i="44"/>
  <c r="AU25" i="44" s="1"/>
  <c r="AS26" i="44"/>
  <c r="AU26" i="44" s="1"/>
  <c r="AS27" i="44"/>
  <c r="AU27" i="44" s="1"/>
  <c r="AS28" i="44"/>
  <c r="AU28" i="44" s="1"/>
  <c r="AS29" i="44"/>
  <c r="AU29" i="44" s="1"/>
  <c r="AS30" i="44"/>
  <c r="AU30" i="44" s="1"/>
  <c r="AS31" i="44"/>
  <c r="AU31" i="44" s="1"/>
  <c r="AS32" i="44"/>
  <c r="AU32" i="44" s="1"/>
  <c r="AO24" i="44" l="1"/>
  <c r="AO25" i="44" s="1"/>
  <c r="AQ25" i="44" s="1"/>
  <c r="AQ23" i="44"/>
  <c r="AP24" i="44" l="1"/>
  <c r="AQ24" i="44"/>
  <c r="AP25" i="44"/>
  <c r="AO26" i="44"/>
  <c r="AO27" i="44" s="1"/>
  <c r="AQ26" i="44" l="1"/>
  <c r="AP26" i="44"/>
  <c r="AO28" i="44"/>
  <c r="AP27" i="44"/>
  <c r="AQ27" i="44"/>
  <c r="AQ28" i="44" l="1"/>
  <c r="AO29" i="44"/>
  <c r="AP28" i="44"/>
  <c r="AP29" i="44" l="1"/>
  <c r="AQ29" i="44"/>
  <c r="AO30" i="44"/>
  <c r="AO31" i="44" l="1"/>
  <c r="AP30" i="44"/>
  <c r="AQ30" i="44"/>
  <c r="AP31" i="44" l="1"/>
  <c r="AQ31" i="44"/>
  <c r="AO32" i="44"/>
  <c r="AQ32" i="44" l="1"/>
  <c r="AP32" i="44"/>
  <c r="H13" i="54" l="1"/>
  <c r="J13" i="54"/>
  <c r="H14" i="54"/>
  <c r="J14" i="54"/>
  <c r="H15" i="54"/>
  <c r="J15" i="54"/>
  <c r="H16" i="54"/>
  <c r="J16" i="54"/>
  <c r="H19" i="54"/>
  <c r="J19" i="54"/>
  <c r="H20" i="54"/>
  <c r="J20" i="54"/>
  <c r="H21" i="54"/>
  <c r="J21" i="54"/>
  <c r="H26" i="54"/>
  <c r="J26" i="54"/>
  <c r="H27" i="54"/>
  <c r="J27" i="54"/>
  <c r="H28" i="54"/>
  <c r="J28" i="54"/>
  <c r="H29" i="54"/>
  <c r="J29" i="54"/>
  <c r="H32" i="54"/>
  <c r="J32" i="54"/>
  <c r="H33" i="54"/>
  <c r="J33" i="54"/>
  <c r="H34" i="54"/>
  <c r="J34" i="54"/>
  <c r="H38" i="54"/>
  <c r="J38" i="54"/>
  <c r="H39" i="54"/>
  <c r="J39" i="54"/>
  <c r="H43" i="54"/>
  <c r="J43" i="54"/>
  <c r="H44" i="54"/>
  <c r="J44" i="54"/>
  <c r="B28" i="44"/>
  <c r="B29" i="44"/>
  <c r="AO33" i="44"/>
  <c r="AP33" i="44"/>
  <c r="AQ33" i="44"/>
  <c r="AS33" i="44"/>
  <c r="AU33" i="44"/>
  <c r="AO34" i="44"/>
  <c r="AP34" i="44"/>
  <c r="AQ34" i="44"/>
  <c r="AS34" i="44"/>
  <c r="AU34" i="44"/>
  <c r="AO35" i="44"/>
  <c r="AP35" i="44"/>
  <c r="AQ35" i="44"/>
  <c r="AS35" i="44"/>
  <c r="AU35" i="44"/>
  <c r="AO36" i="44"/>
  <c r="AP36" i="44"/>
  <c r="AQ36" i="44"/>
  <c r="AS36" i="44"/>
  <c r="AU36" i="44"/>
  <c r="AO37" i="44"/>
  <c r="AP37" i="44"/>
  <c r="AQ37" i="44"/>
  <c r="AS37" i="44"/>
  <c r="AU37" i="44"/>
  <c r="AO38" i="44"/>
  <c r="AP38" i="44"/>
  <c r="AQ38" i="44"/>
  <c r="AS38" i="44"/>
  <c r="AU38" i="44"/>
  <c r="AO39" i="44"/>
  <c r="AP39" i="44"/>
  <c r="AQ39" i="44"/>
  <c r="AS39" i="44"/>
  <c r="AU39" i="44"/>
  <c r="AO40" i="44"/>
  <c r="AP40" i="44"/>
  <c r="AQ40" i="44"/>
  <c r="AS40" i="44"/>
  <c r="AU40" i="44"/>
  <c r="AO41" i="44"/>
  <c r="AP41" i="44"/>
  <c r="AQ41" i="44"/>
  <c r="AS41" i="44"/>
  <c r="AU41" i="44"/>
  <c r="AO42" i="44"/>
  <c r="AP42" i="44"/>
  <c r="AQ42" i="44"/>
  <c r="AS42" i="44"/>
  <c r="AU42" i="44"/>
  <c r="AO43" i="44"/>
  <c r="AP43" i="44"/>
  <c r="AQ43" i="44"/>
  <c r="AS43" i="44"/>
  <c r="AU43" i="44"/>
  <c r="AO44" i="44"/>
  <c r="AP44" i="44"/>
  <c r="AQ44" i="44"/>
  <c r="AS44" i="44"/>
  <c r="AU44" i="44"/>
  <c r="AO45" i="44"/>
  <c r="AP45" i="44"/>
  <c r="AQ45" i="44"/>
  <c r="AS45" i="44"/>
  <c r="AU45" i="44"/>
  <c r="AO46" i="44"/>
  <c r="AP46" i="44"/>
  <c r="AQ46" i="44"/>
  <c r="AS46" i="44"/>
  <c r="AU46" i="44"/>
  <c r="AO47" i="44"/>
  <c r="AP47" i="44"/>
  <c r="AQ47" i="44"/>
  <c r="AS47" i="44"/>
  <c r="AU47" i="44"/>
  <c r="AO48" i="44"/>
  <c r="AP48" i="44"/>
  <c r="AQ48" i="44"/>
  <c r="AS48" i="44"/>
  <c r="AU48" i="44"/>
  <c r="AO49" i="44"/>
  <c r="AP49" i="44"/>
  <c r="AQ49" i="44"/>
  <c r="AS49" i="44"/>
  <c r="AU49" i="44"/>
  <c r="AO50" i="44"/>
  <c r="AP50" i="44"/>
  <c r="AQ50" i="44"/>
  <c r="AS50" i="44"/>
  <c r="AU50" i="44"/>
  <c r="AO51" i="44"/>
  <c r="AP51" i="44"/>
  <c r="AQ51" i="44"/>
  <c r="AS51" i="44"/>
  <c r="AU51" i="44"/>
  <c r="AO52" i="44"/>
  <c r="AP52" i="44"/>
  <c r="AQ52" i="44"/>
  <c r="AS52" i="44"/>
  <c r="AU52" i="44"/>
  <c r="AO53" i="44"/>
  <c r="AP53" i="44"/>
  <c r="AQ53" i="44"/>
  <c r="AS53" i="44"/>
  <c r="AU53" i="44"/>
  <c r="AO54" i="44"/>
  <c r="AP54" i="44"/>
  <c r="AQ54" i="44"/>
  <c r="AS54" i="44"/>
  <c r="AU54" i="44"/>
  <c r="AO55" i="44"/>
  <c r="AP55" i="44"/>
  <c r="AQ55" i="44"/>
  <c r="AS55" i="44"/>
  <c r="AU55" i="44"/>
  <c r="AO56" i="44"/>
  <c r="AP56" i="44"/>
  <c r="AQ56" i="44"/>
  <c r="AS56" i="44"/>
  <c r="AU56" i="44"/>
  <c r="AO57" i="44"/>
  <c r="AP57" i="44"/>
  <c r="AQ57" i="44"/>
  <c r="AS57" i="44"/>
  <c r="AU57" i="44"/>
  <c r="AO58" i="44"/>
  <c r="AP58" i="44"/>
  <c r="AQ58" i="44"/>
  <c r="AS58" i="44"/>
  <c r="AU58" i="44"/>
  <c r="AO59" i="44"/>
  <c r="AP59" i="44"/>
  <c r="AQ59" i="44"/>
  <c r="AS59" i="44"/>
  <c r="AU59" i="44"/>
  <c r="AO60" i="44"/>
  <c r="AP60" i="44"/>
  <c r="AQ60" i="44"/>
  <c r="AS60" i="44"/>
  <c r="AU60" i="44"/>
  <c r="AO61" i="44"/>
  <c r="AP61" i="44"/>
  <c r="AQ61" i="44"/>
  <c r="AS61" i="44"/>
  <c r="AU61" i="44"/>
  <c r="AO62" i="44"/>
  <c r="AP62" i="44"/>
  <c r="AQ62" i="44"/>
  <c r="AS62" i="44"/>
  <c r="AU62" i="44"/>
  <c r="AO63" i="44"/>
  <c r="AP63" i="44"/>
  <c r="AQ63" i="44"/>
  <c r="AS63" i="44"/>
  <c r="AU63" i="44"/>
  <c r="AO64" i="44"/>
  <c r="AP64" i="44"/>
  <c r="AQ64" i="44"/>
  <c r="AS64" i="44"/>
  <c r="AU64" i="44"/>
  <c r="AO65" i="44"/>
  <c r="AP65" i="44"/>
  <c r="AQ65" i="44"/>
  <c r="AS65" i="44"/>
  <c r="AU65" i="44"/>
  <c r="AO66" i="44"/>
  <c r="AP66" i="44"/>
  <c r="AQ66" i="44"/>
  <c r="AS66" i="44"/>
  <c r="AU66" i="44"/>
  <c r="AO67" i="44"/>
  <c r="AP67" i="44"/>
  <c r="AQ67" i="44"/>
  <c r="AS67" i="44"/>
  <c r="AU67" i="44"/>
  <c r="AO68" i="44"/>
  <c r="AP68" i="44"/>
  <c r="AQ68" i="44"/>
  <c r="AS68" i="44"/>
  <c r="AU68" i="44"/>
  <c r="T2" i="46"/>
  <c r="N3" i="46"/>
  <c r="T3" i="46"/>
  <c r="T4" i="46"/>
  <c r="N5" i="46"/>
  <c r="T5" i="46"/>
  <c r="T6" i="46"/>
  <c r="T7" i="46"/>
  <c r="T8" i="46"/>
  <c r="T9" i="46"/>
  <c r="T10" i="46"/>
  <c r="T11" i="46"/>
  <c r="C12" i="46"/>
  <c r="T12" i="46"/>
  <c r="C13" i="46"/>
  <c r="H13" i="46"/>
  <c r="J13" i="46"/>
  <c r="T13" i="46"/>
  <c r="T14" i="46"/>
  <c r="H15" i="46"/>
  <c r="J15" i="46"/>
  <c r="T15" i="46"/>
  <c r="H16" i="46"/>
  <c r="J16" i="46"/>
  <c r="T16" i="46"/>
  <c r="H17" i="46"/>
  <c r="J17" i="46"/>
  <c r="T17" i="46"/>
  <c r="T18" i="46"/>
  <c r="T19" i="46"/>
  <c r="H20" i="46"/>
  <c r="J20" i="46"/>
  <c r="T20" i="46"/>
  <c r="H21" i="46"/>
  <c r="J21" i="46"/>
  <c r="T21" i="46"/>
  <c r="H22" i="46"/>
  <c r="J22" i="46"/>
  <c r="T22" i="46"/>
  <c r="T23" i="46"/>
  <c r="T24" i="46"/>
  <c r="T25" i="46"/>
  <c r="T26" i="46"/>
  <c r="T27" i="46"/>
  <c r="H28" i="46"/>
  <c r="J28" i="46"/>
  <c r="T28" i="46"/>
  <c r="H29" i="46"/>
  <c r="J29" i="46"/>
  <c r="T29" i="46"/>
  <c r="H30" i="46"/>
  <c r="J30" i="46"/>
  <c r="T30" i="46"/>
  <c r="H31" i="46"/>
  <c r="J31" i="46"/>
  <c r="T31" i="46"/>
  <c r="T32" i="46"/>
  <c r="T33" i="46"/>
  <c r="H34" i="46"/>
  <c r="J34" i="46"/>
  <c r="T34" i="46"/>
  <c r="H35" i="46"/>
  <c r="J35" i="46"/>
  <c r="T35" i="46"/>
  <c r="H36" i="46"/>
  <c r="J36" i="46"/>
  <c r="T36" i="46"/>
  <c r="H41" i="46"/>
  <c r="J41" i="46"/>
  <c r="H42" i="46"/>
  <c r="J42" i="46"/>
  <c r="H43" i="46"/>
  <c r="J43" i="46"/>
  <c r="H47" i="46"/>
  <c r="J47" i="46"/>
  <c r="H48" i="46"/>
  <c r="J48" i="46"/>
  <c r="E6" i="24"/>
  <c r="E7" i="24"/>
  <c r="E8" i="24"/>
  <c r="E9" i="24"/>
  <c r="E10" i="24"/>
  <c r="E11" i="24"/>
  <c r="E12" i="24"/>
  <c r="E13" i="24"/>
  <c r="E14" i="24"/>
  <c r="E15" i="24"/>
  <c r="E16" i="24"/>
  <c r="C18" i="24"/>
  <c r="C20" i="24"/>
  <c r="K33" i="24"/>
  <c r="Q33" i="24"/>
  <c r="K34" i="24"/>
  <c r="Q34" i="24"/>
  <c r="K35" i="24"/>
  <c r="Q35" i="24"/>
  <c r="K36" i="24"/>
  <c r="Q36" i="24"/>
  <c r="K37" i="24"/>
  <c r="Q37" i="24"/>
  <c r="K38" i="24"/>
  <c r="Q38" i="24"/>
  <c r="K39" i="24"/>
  <c r="Q39" i="24"/>
  <c r="J42" i="24"/>
  <c r="K42" i="24"/>
  <c r="P42" i="24"/>
  <c r="Q42" i="24"/>
  <c r="K33" i="22"/>
  <c r="Q33" i="22"/>
  <c r="K34" i="22"/>
  <c r="Q34" i="22"/>
  <c r="K35" i="22"/>
  <c r="Q35" i="22"/>
  <c r="K36" i="22"/>
  <c r="Q36" i="22"/>
  <c r="K37" i="22"/>
  <c r="Q37" i="22"/>
  <c r="E38" i="22"/>
  <c r="K38" i="22"/>
  <c r="Q38" i="22"/>
  <c r="E39" i="22"/>
  <c r="K39" i="22"/>
  <c r="Q39" i="22"/>
  <c r="E40" i="22"/>
  <c r="E41" i="22"/>
  <c r="E42" i="22"/>
  <c r="J42" i="22"/>
  <c r="K42" i="22"/>
  <c r="P42" i="22"/>
  <c r="Q42" i="22"/>
  <c r="E43" i="22"/>
  <c r="E44" i="22"/>
  <c r="E45" i="22"/>
  <c r="E46" i="22"/>
  <c r="E47" i="22"/>
  <c r="E48" i="22"/>
  <c r="C49" i="22"/>
  <c r="C54" i="22"/>
  <c r="C55" i="22"/>
  <c r="C56" i="22"/>
  <c r="C58" i="22"/>
  <c r="K33" i="32"/>
  <c r="Q33" i="32"/>
  <c r="K34" i="32"/>
  <c r="Q34" i="32"/>
  <c r="K35" i="32"/>
  <c r="Q35" i="32"/>
  <c r="K36" i="32"/>
  <c r="Q36" i="32"/>
  <c r="K37" i="32"/>
  <c r="Q37" i="32"/>
  <c r="E38" i="32"/>
  <c r="K38" i="32"/>
  <c r="Q38" i="32"/>
  <c r="E39" i="32"/>
  <c r="K39" i="32"/>
  <c r="Q39" i="32"/>
  <c r="E40" i="32"/>
  <c r="E41" i="32"/>
  <c r="E42" i="32"/>
  <c r="J42" i="32"/>
  <c r="K42" i="32"/>
  <c r="P42" i="32"/>
  <c r="Q42" i="32"/>
  <c r="E43" i="32"/>
  <c r="E44" i="32"/>
  <c r="E45" i="32"/>
  <c r="E46" i="32"/>
  <c r="E47" i="32"/>
  <c r="E48" i="32"/>
  <c r="C49" i="32"/>
  <c r="C54" i="32"/>
  <c r="C55" i="32"/>
  <c r="C56" i="32"/>
  <c r="C58" i="32"/>
  <c r="K33" i="50"/>
  <c r="Q33" i="50"/>
  <c r="K34" i="50"/>
  <c r="Q34" i="50"/>
  <c r="K35" i="50"/>
  <c r="Q35" i="50"/>
  <c r="K36" i="50"/>
  <c r="Q36" i="50"/>
  <c r="K37" i="50"/>
  <c r="Q37" i="50"/>
  <c r="E38" i="50"/>
  <c r="K38" i="50"/>
  <c r="Q38" i="50"/>
  <c r="E39" i="50"/>
  <c r="K39" i="50"/>
  <c r="Q39" i="50"/>
  <c r="E40" i="50"/>
  <c r="E41" i="50"/>
  <c r="E42" i="50"/>
  <c r="J42" i="50"/>
  <c r="K42" i="50"/>
  <c r="P42" i="50"/>
  <c r="Q42" i="50"/>
  <c r="E43" i="50"/>
  <c r="E44" i="50"/>
  <c r="E45" i="50"/>
  <c r="E46" i="50"/>
  <c r="E47" i="50"/>
  <c r="E48" i="50"/>
  <c r="C49" i="50"/>
  <c r="C54" i="50"/>
  <c r="C55" i="50"/>
  <c r="C56" i="50"/>
  <c r="C58" i="50"/>
  <c r="E6" i="30"/>
  <c r="E7" i="30"/>
  <c r="E8" i="30"/>
  <c r="E9" i="30"/>
  <c r="E10" i="30"/>
  <c r="E11" i="30"/>
  <c r="E12" i="30"/>
  <c r="E13" i="30"/>
  <c r="E14" i="30"/>
  <c r="E15" i="30"/>
  <c r="E16" i="30"/>
  <c r="C18" i="30"/>
  <c r="C20" i="30"/>
  <c r="K33" i="30"/>
  <c r="Q33" i="30"/>
  <c r="K34" i="30"/>
  <c r="Q34" i="30"/>
  <c r="K35" i="30"/>
  <c r="Q35" i="30"/>
  <c r="K36" i="30"/>
  <c r="Q36" i="30"/>
  <c r="K37" i="30"/>
  <c r="Q37" i="30"/>
  <c r="K38" i="30"/>
  <c r="Q38" i="30"/>
  <c r="K39" i="30"/>
  <c r="Q39" i="30"/>
  <c r="J42" i="30"/>
  <c r="K42" i="30"/>
  <c r="P42" i="30"/>
  <c r="Q42" i="30"/>
  <c r="E6" i="48"/>
  <c r="E7" i="48"/>
  <c r="E8" i="48"/>
  <c r="E9" i="48"/>
  <c r="E10" i="48"/>
  <c r="E11" i="48"/>
  <c r="E12" i="48"/>
  <c r="E13" i="48"/>
  <c r="E14" i="48"/>
  <c r="E15" i="48"/>
  <c r="E16" i="48"/>
  <c r="C18" i="48"/>
  <c r="C20" i="48"/>
  <c r="K33" i="48"/>
  <c r="Q33" i="48"/>
  <c r="K34" i="48"/>
  <c r="Q34" i="48"/>
  <c r="K35" i="48"/>
  <c r="Q35" i="48"/>
  <c r="K36" i="48"/>
  <c r="Q36" i="48"/>
  <c r="K37" i="48"/>
  <c r="Q37" i="48"/>
  <c r="K38" i="48"/>
  <c r="Q38" i="48"/>
  <c r="K39" i="48"/>
  <c r="Q39" i="48"/>
  <c r="J42" i="48"/>
  <c r="K42" i="48"/>
  <c r="P42" i="48"/>
  <c r="Q42" i="48"/>
  <c r="H4" i="15"/>
  <c r="J4" i="15"/>
  <c r="H5" i="15"/>
  <c r="J5" i="15"/>
  <c r="H6" i="15"/>
  <c r="J6" i="15"/>
  <c r="H7" i="15"/>
  <c r="J7" i="15"/>
  <c r="H10" i="15"/>
  <c r="J10" i="15"/>
  <c r="H11" i="15"/>
  <c r="J11" i="15"/>
  <c r="H12" i="15"/>
  <c r="J1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tc={0482EC6E-CBD5-D54A-BB8C-9102FB96325F}</author>
  </authors>
  <commentList>
    <comment ref="C18" authorId="0" shapeId="0" xr:uid="{0482EC6E-CBD5-D54A-BB8C-9102FB96325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using goal seek: Set solar tax benefit to value of reducible taxes by changing equity contribution input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tc={4096B3DF-D807-0348-A284-D157F2C1F1B5}</author>
  </authors>
  <commentList>
    <comment ref="C18" authorId="0" shapeId="0" xr:uid="{4096B3DF-D807-0348-A284-D157F2C1F1B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using goal seek: Set solar tax benefit to value of reducible taxes by changing equity contribution input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tc={B50DAE1C-0FF4-D844-BF75-EA43CA6BD006}</author>
  </authors>
  <commentList>
    <comment ref="C18" authorId="0" shapeId="0" xr:uid="{B50DAE1C-0FF4-D844-BF75-EA43CA6BD00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using goal seek: Set solar tax benefit to value of reducible taxes by changing equity contribution input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tc={8D950640-9817-5B43-BFDE-001462755565}</author>
  </authors>
  <commentList>
    <comment ref="C49" authorId="0" shapeId="0" xr:uid="{8D950640-9817-5B43-BFDE-00146275556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using goal seek: Set solar tax benefit to value of reducible taxes by changing equity contribution input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tc={FFEACF8E-B61F-AD4A-937C-1A91869F18EA}</author>
  </authors>
  <commentList>
    <comment ref="C49" authorId="0" shapeId="0" xr:uid="{FFEACF8E-B61F-AD4A-937C-1A91869F18E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using goal seek: Set solar tax benefit to value of reducible taxes by changing equity contribution input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tc={2659AC44-F6B0-4443-8500-C0BE1610C6E9}</author>
  </authors>
  <commentList>
    <comment ref="C49" authorId="0" shapeId="0" xr:uid="{2659AC44-F6B0-4443-8500-C0BE1610C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using goal seek: Set solar tax benefit to value of reducible taxes by changing equity contribution input</t>
      </text>
    </comment>
  </commentList>
</comments>
</file>

<file path=xl/sharedStrings.xml><?xml version="1.0" encoding="utf-8"?>
<sst xmlns="http://schemas.openxmlformats.org/spreadsheetml/2006/main" count="2106" uniqueCount="276">
  <si>
    <t>Income</t>
  </si>
  <si>
    <t>Bulk Charitable</t>
  </si>
  <si>
    <t>Filing Status</t>
  </si>
  <si>
    <t>% of Business</t>
  </si>
  <si>
    <t>W2</t>
  </si>
  <si>
    <t>Cap Gains</t>
  </si>
  <si>
    <t>LT Capital Gains</t>
  </si>
  <si>
    <t>Consulting Fee</t>
  </si>
  <si>
    <t xml:space="preserve">No Planning </t>
  </si>
  <si>
    <t>Strategy Contribution</t>
  </si>
  <si>
    <t>Planning Fee</t>
  </si>
  <si>
    <t>Total Outlay</t>
  </si>
  <si>
    <t>Savings</t>
  </si>
  <si>
    <t>Filing Status - LA</t>
  </si>
  <si>
    <t>W2 Income</t>
  </si>
  <si>
    <t>Business Income</t>
  </si>
  <si>
    <t>ST Capital Gains</t>
  </si>
  <si>
    <t>Married Filing Joint</t>
  </si>
  <si>
    <t>AGI</t>
  </si>
  <si>
    <t>Unmarried/Single</t>
  </si>
  <si>
    <t>LT Cap Gains</t>
  </si>
  <si>
    <t>Current Fed Tax</t>
  </si>
  <si>
    <t>Current State Tax</t>
  </si>
  <si>
    <t>LT Cap Gains Tax</t>
  </si>
  <si>
    <t>Total Inc Tax</t>
  </si>
  <si>
    <t>Effective Tax Rate</t>
  </si>
  <si>
    <t>Est. Tax Expense</t>
  </si>
  <si>
    <t>Proactive Planning Fee</t>
  </si>
  <si>
    <t>Capital Gains Tax</t>
  </si>
  <si>
    <t>% of Offset</t>
  </si>
  <si>
    <t>On Contribution</t>
  </si>
  <si>
    <t>AGI w Gift</t>
  </si>
  <si>
    <t>Unadjusted</t>
  </si>
  <si>
    <t>Total All Sources</t>
  </si>
  <si>
    <t>Contribution</t>
  </si>
  <si>
    <t>RIA Discount</t>
  </si>
  <si>
    <t>Client Contribution</t>
  </si>
  <si>
    <t>Donation</t>
  </si>
  <si>
    <t>Difference</t>
  </si>
  <si>
    <t>Post Gift Taxable Income</t>
  </si>
  <si>
    <t>Cirrus Cost</t>
  </si>
  <si>
    <t>Modified Fed</t>
  </si>
  <si>
    <t>Mod State Tax</t>
  </si>
  <si>
    <t>Total Mod Inc Tax</t>
  </si>
  <si>
    <t>Tax Reduction</t>
  </si>
  <si>
    <t>Contribution + Fee</t>
  </si>
  <si>
    <t>Access Net Savings</t>
  </si>
  <si>
    <t>Leveraged Entity Ownership Strategy</t>
  </si>
  <si>
    <t>Multiple</t>
  </si>
  <si>
    <t>ST Gains</t>
  </si>
  <si>
    <t>AGI w SOP</t>
  </si>
  <si>
    <t>SOP</t>
  </si>
  <si>
    <t>Req. Contribution</t>
  </si>
  <si>
    <t>Admin Fee</t>
  </si>
  <si>
    <t>SOP Fee</t>
  </si>
  <si>
    <t>Total Strategy Cost</t>
  </si>
  <si>
    <t>SOP Neg K1, Income</t>
  </si>
  <si>
    <t>SOP Neg K1, Cap Gains</t>
  </si>
  <si>
    <t>Investment Acccount</t>
  </si>
  <si>
    <t>Modified Cap Gains</t>
  </si>
  <si>
    <t>Mod AGI Tax</t>
  </si>
  <si>
    <t>Mod Cap Gains Tax</t>
  </si>
  <si>
    <t>Tax Credit Purchase</t>
  </si>
  <si>
    <t>Differnece</t>
  </si>
  <si>
    <t>Cash Flow Improvement</t>
  </si>
  <si>
    <t>Investment Accounts</t>
  </si>
  <si>
    <t>AGI w/ SOP</t>
  </si>
  <si>
    <t>Equity Contribution</t>
  </si>
  <si>
    <t>Upfront Electric Sale</t>
  </si>
  <si>
    <t>Project Cost</t>
  </si>
  <si>
    <t>Fed Credit</t>
  </si>
  <si>
    <t>Depreciable Basis</t>
  </si>
  <si>
    <t>Multiple On Contribution</t>
  </si>
  <si>
    <t>% Equity Contribution</t>
  </si>
  <si>
    <t>% Fed Credit</t>
  </si>
  <si>
    <t>Net Depreciation Yr 1</t>
  </si>
  <si>
    <t>Depreciation Benefit Yr 1</t>
  </si>
  <si>
    <t>Equity Contribution Input</t>
  </si>
  <si>
    <t>Inputs</t>
  </si>
  <si>
    <t>Solar Strategy Details</t>
  </si>
  <si>
    <t>Non-LTCG AGI w Gift</t>
  </si>
  <si>
    <t>Solar Strategy Inputs</t>
  </si>
  <si>
    <t>Solar</t>
  </si>
  <si>
    <t>Federal Income Tax Table 2025</t>
  </si>
  <si>
    <t>State Income Tax Table 2025 -Louisiana</t>
  </si>
  <si>
    <t>Solar Tax Benefit Yr 1</t>
  </si>
  <si>
    <t>Charitable Net Savings</t>
  </si>
  <si>
    <t>Solar Tax Net Savings</t>
  </si>
  <si>
    <t>Solar Net Savings</t>
  </si>
  <si>
    <t>Total Net Savings</t>
  </si>
  <si>
    <t>NIIT</t>
  </si>
  <si>
    <t>Reducible Taxes</t>
  </si>
  <si>
    <t>Summary</t>
  </si>
  <si>
    <t>Investment Account</t>
  </si>
  <si>
    <t>Strategy Comparison</t>
  </si>
  <si>
    <t>Total Cash Outlay</t>
  </si>
  <si>
    <t>Interest</t>
  </si>
  <si>
    <t>Nonqualified Dividends</t>
  </si>
  <si>
    <t>Qualified Dividends</t>
  </si>
  <si>
    <t>LTCG</t>
  </si>
  <si>
    <t>Ordinary Income</t>
  </si>
  <si>
    <t>LTCG &amp; Qualified Dividends</t>
  </si>
  <si>
    <t>LTCG + Qualified Dividends</t>
  </si>
  <si>
    <t>Ordinary Income w Gift</t>
  </si>
  <si>
    <t>Mod LTCG &amp; Qual. Div.</t>
  </si>
  <si>
    <t>Long Term Capital Gains &amp; Qualified Dividends Tax</t>
  </si>
  <si>
    <t>Federal Ordinary Income Tax</t>
  </si>
  <si>
    <t>State Income Tax - Louisiana</t>
  </si>
  <si>
    <t>LTCG &amp; QD</t>
  </si>
  <si>
    <t>LTCG &amp; QD w Gift</t>
  </si>
  <si>
    <t>Fed Ordinary Income Tax</t>
  </si>
  <si>
    <t>Fed LTCG Tax</t>
  </si>
  <si>
    <t>Modified Ordinary Income</t>
  </si>
  <si>
    <t>AGI w Depreciation</t>
  </si>
  <si>
    <t>Tax Before Strategy</t>
  </si>
  <si>
    <t>Charitable</t>
  </si>
  <si>
    <t>Solar &amp; Charitable</t>
  </si>
  <si>
    <t>LTCG &amp; QD w SOP</t>
  </si>
  <si>
    <t>LTCG &amp; QD w SOP &amp; Gift</t>
  </si>
  <si>
    <t>AGI w/ SOP &amp; Gift</t>
  </si>
  <si>
    <t>Total Savings</t>
  </si>
  <si>
    <t>Ord. Inc.</t>
  </si>
  <si>
    <t>Ord. Inc. w SOP</t>
  </si>
  <si>
    <t>Ord. Inc. w SOP &amp; Gift</t>
  </si>
  <si>
    <t>Current LT Cap Gains Tax</t>
  </si>
  <si>
    <t>Initial Tax</t>
  </si>
  <si>
    <t>Tax after LEOS</t>
  </si>
  <si>
    <t>Tax after LEOS &amp; Charitable</t>
  </si>
  <si>
    <t>Mod LTCG Tax</t>
  </si>
  <si>
    <t>Contribution &amp; Fees</t>
  </si>
  <si>
    <t>Charitable Donation</t>
  </si>
  <si>
    <t>SOP NEG K1 - LTCG</t>
  </si>
  <si>
    <t>DB Contribution</t>
  </si>
  <si>
    <t>DB Plan</t>
  </si>
  <si>
    <t>Business AGI</t>
  </si>
  <si>
    <t>Marginal Business Tax</t>
  </si>
  <si>
    <t>Ord. Income less Business AGI</t>
  </si>
  <si>
    <t>Mod. Business Income</t>
  </si>
  <si>
    <t>Ord. Income less DB Contribution</t>
  </si>
  <si>
    <t>Mod. Marginal Business Tax</t>
  </si>
  <si>
    <t>State Tax Savings</t>
  </si>
  <si>
    <t>Total Tax Savings</t>
  </si>
  <si>
    <t>SOP NEG K1 - Biz. Income</t>
  </si>
  <si>
    <t>DB Only</t>
  </si>
  <si>
    <t>Fed Ord. Income Tax</t>
  </si>
  <si>
    <t>Fed LTCG &amp; QD Tax</t>
  </si>
  <si>
    <t>State Tax</t>
  </si>
  <si>
    <t>Solar &amp; DB</t>
  </si>
  <si>
    <t>Charitable &amp; DB</t>
  </si>
  <si>
    <t>Solar &amp; Charitable &amp; DB</t>
  </si>
  <si>
    <t>Mod Ord. Income Tax</t>
  </si>
  <si>
    <t>Net Savings</t>
  </si>
  <si>
    <t>No Strategy</t>
  </si>
  <si>
    <t>No DB Plan</t>
  </si>
  <si>
    <t>Tax Before Strategy and DB</t>
  </si>
  <si>
    <t>Ord. Income Tax Savings</t>
  </si>
  <si>
    <t>Fed Taxes Remaining</t>
  </si>
  <si>
    <t>Fed Taxes Remining</t>
  </si>
  <si>
    <t>Mod LT Cap Gains Tax</t>
  </si>
  <si>
    <t>AGI w Film</t>
  </si>
  <si>
    <t>LTCG &amp; QD w Film</t>
  </si>
  <si>
    <t>Ordinary Income w Film</t>
  </si>
  <si>
    <t>Ordinary Income w Filn</t>
  </si>
  <si>
    <t>Film Cost</t>
  </si>
  <si>
    <t>NIIT (pre Film)</t>
  </si>
  <si>
    <t>Film</t>
  </si>
  <si>
    <t>Film Offset</t>
  </si>
  <si>
    <t>Post Offset Taxable Income</t>
  </si>
  <si>
    <t>Income Offset</t>
  </si>
  <si>
    <t>Film &amp; DB</t>
  </si>
  <si>
    <t>LEAP</t>
  </si>
  <si>
    <t>LEAP &amp; DB</t>
  </si>
  <si>
    <t>LEAP &amp; Charitable &amp; DB</t>
  </si>
  <si>
    <t>LEAP &amp; Charitable</t>
  </si>
  <si>
    <t>Basis</t>
  </si>
  <si>
    <t>Investment Cash Flow</t>
  </si>
  <si>
    <t>Tax Cash Flow</t>
  </si>
  <si>
    <t>Total Cash Flow</t>
  </si>
  <si>
    <t>Year</t>
  </si>
  <si>
    <t>Distribution yield</t>
  </si>
  <si>
    <t>LTCG tax rate</t>
  </si>
  <si>
    <t>Initial depreciation</t>
  </si>
  <si>
    <t>IRR</t>
  </si>
  <si>
    <t>Pre-tax IRR</t>
  </si>
  <si>
    <t>Post-tax IRR</t>
  </si>
  <si>
    <t>Timeline</t>
  </si>
  <si>
    <t>Investment</t>
  </si>
  <si>
    <t>Active</t>
  </si>
  <si>
    <t>Effective tax rate</t>
  </si>
  <si>
    <t>Exit valuation (% of investment)</t>
  </si>
  <si>
    <t>Investment input</t>
  </si>
  <si>
    <t>Active or Passive?</t>
  </si>
  <si>
    <t>Effective tax rate input</t>
  </si>
  <si>
    <t>NPV</t>
  </si>
  <si>
    <t>Cost of capital</t>
  </si>
  <si>
    <t>NIIT post LEAP</t>
  </si>
  <si>
    <t>NIIT post LEAP &amp; Charitable</t>
  </si>
  <si>
    <t>Total</t>
  </si>
  <si>
    <t>Initial Tax (after DB)</t>
  </si>
  <si>
    <t>Membership Fee</t>
  </si>
  <si>
    <t>Year 2 deductions</t>
  </si>
  <si>
    <t>Year 1 deductions</t>
  </si>
  <si>
    <t>Depletion allowance</t>
  </si>
  <si>
    <t>Exit valuation</t>
  </si>
  <si>
    <t>Tax</t>
  </si>
  <si>
    <t>Timeline (5 year)</t>
  </si>
  <si>
    <t>Timeline (2 year)</t>
  </si>
  <si>
    <t>Age</t>
  </si>
  <si>
    <t>Non Roth value</t>
  </si>
  <si>
    <t>Other income</t>
  </si>
  <si>
    <t>Roth Conversion</t>
  </si>
  <si>
    <t>Total income</t>
  </si>
  <si>
    <t>Filing status</t>
  </si>
  <si>
    <t>Proceeds</t>
  </si>
  <si>
    <t>RMD %</t>
  </si>
  <si>
    <t>Incremental tax rate</t>
  </si>
  <si>
    <t>non roth Account value (pre withdrawal)</t>
  </si>
  <si>
    <t>non roth Account value (post withdrawal)</t>
  </si>
  <si>
    <t>pre tax Income</t>
  </si>
  <si>
    <t>post tax income</t>
  </si>
  <si>
    <t>tax</t>
  </si>
  <si>
    <t>taxable account</t>
  </si>
  <si>
    <t>pv tax</t>
  </si>
  <si>
    <t>RMD calc</t>
  </si>
  <si>
    <t>effective marginal tax rate</t>
  </si>
  <si>
    <t>Roth conversion amount</t>
  </si>
  <si>
    <t>Manual Inputs</t>
  </si>
  <si>
    <t>PV RMD Tax</t>
  </si>
  <si>
    <t>RMD (No conversion)</t>
  </si>
  <si>
    <t>incremental fed tax</t>
  </si>
  <si>
    <t>incremental state tax</t>
  </si>
  <si>
    <t>total incremental tax</t>
  </si>
  <si>
    <t>incremental tax rate (federal + state)</t>
  </si>
  <si>
    <t>No DB Contribution</t>
  </si>
  <si>
    <t xml:space="preserve"> Film &amp; Roth</t>
  </si>
  <si>
    <t xml:space="preserve"> Solar &amp; Roth</t>
  </si>
  <si>
    <t xml:space="preserve"> Charitable &amp; Roth</t>
  </si>
  <si>
    <t xml:space="preserve"> Solar &amp; Charitable &amp; Roth</t>
  </si>
  <si>
    <t xml:space="preserve"> LEAP &amp; Roth</t>
  </si>
  <si>
    <t xml:space="preserve"> LEAP &amp; Charitable &amp; Roth</t>
  </si>
  <si>
    <t>No Conversion</t>
  </si>
  <si>
    <t>Conversion</t>
  </si>
  <si>
    <t>Discount rate</t>
  </si>
  <si>
    <t>Projected tax rate (federal + state)</t>
  </si>
  <si>
    <t>*assume distributions prior to 73 for living</t>
  </si>
  <si>
    <t>*assume rmd's are spent not invested</t>
  </si>
  <si>
    <t>*LEAP first before charitable</t>
  </si>
  <si>
    <t>Retirement age</t>
  </si>
  <si>
    <t>withdrawal rate</t>
  </si>
  <si>
    <t>Minimum withdrawal rate</t>
  </si>
  <si>
    <t>roth Account value (pre withdrawal)</t>
  </si>
  <si>
    <t xml:space="preserve"> roth Account value (post withdrawal)</t>
  </si>
  <si>
    <t>Roth conversion tax</t>
  </si>
  <si>
    <t>Current Age</t>
  </si>
  <si>
    <t>Roth calc w/ Tax Savings</t>
  </si>
  <si>
    <t>Strategy Input</t>
  </si>
  <si>
    <t>Strategy Used</t>
  </si>
  <si>
    <t>Roth calc (no tax savings)</t>
  </si>
  <si>
    <t>Roth conversion calc (no savings)</t>
  </si>
  <si>
    <t>Roth with Savings</t>
  </si>
  <si>
    <t>tax savings</t>
  </si>
  <si>
    <t>Traditional IRA Income</t>
  </si>
  <si>
    <t>Traditional IRA at 100 (post tax)</t>
  </si>
  <si>
    <t>Roth Conversion Tax w/ Savings</t>
  </si>
  <si>
    <t>Roth IRA (Post Strategy) Income</t>
  </si>
  <si>
    <t>Roth IRA (Post Strategy) at 100</t>
  </si>
  <si>
    <t>Roth IRA (No Strategy) at 100</t>
  </si>
  <si>
    <t xml:space="preserve">Roth IRA (No Strategy) Income </t>
  </si>
  <si>
    <t>Current tax rate (federal + state)</t>
  </si>
  <si>
    <t>Input: Projected tax rate (federal + state)</t>
  </si>
  <si>
    <t>PV Traditional IRA RMD Tax</t>
  </si>
  <si>
    <t>FV at 100 (proceeds invested)</t>
  </si>
  <si>
    <t>fv @ 100 (proceeds invested)</t>
  </si>
  <si>
    <t>Net Additional Savings</t>
  </si>
  <si>
    <t>Married-Joint</t>
  </si>
  <si>
    <t>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</si>
</sst>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&quot;$&quot;* #,##0_);_(&quot;$&quot;* \(#,##0\);_(&quot;$&quot;* &quot;-&quot;????_);_(@_)"/>
    <numFmt numFmtId="167" formatCode="_(* #,##0_);_(* \(#,##0\);_(* &quot;-&quot;??_);_(@_)"/>
    <numFmt numFmtId="168" formatCode="&quot;$&quot;#,##0.0"/>
    <numFmt numFmtId="169" formatCode="&quot;$&quot;#,##0"/>
    <numFmt numFmtId="170" formatCode="_(* #,##0.0000000_);_(* \(#,##0.0000000\);_(* &quot;-&quot;??_);_(@_)"/>
    <numFmt numFmtId="171" formatCode="&quot;$&quot;#,##0.00"/>
    <numFmt numFmtId="172" formatCode="_(&quot;$&quot;* #,##0.0000_);_(&quot;$&quot;* \(#,##0.0000\);_(&quot;$&quot;* &quot;-&quot;??_);_(@_)"/>
    <numFmt numFmtId="173" formatCode="&quot;$&quot;#\ ###\ ##0;\ \(&quot;$&quot;#,###,##0\);\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DDD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6" fontId="0" fillId="0" borderId="0" xfId="0" applyNumberFormat="1"/>
    <xf numFmtId="6" fontId="4" fillId="3" borderId="6" xfId="0" applyNumberFormat="1" applyFont="1" applyFill="1" applyBorder="1"/>
    <xf numFmtId="44" fontId="0" fillId="0" borderId="0" xfId="0" applyNumberFormat="1"/>
    <xf numFmtId="0" fontId="0" fillId="0" borderId="7" xfId="0" applyBorder="1" applyAlignment="1">
      <alignment horizontal="center"/>
    </xf>
    <xf numFmtId="10" fontId="0" fillId="0" borderId="0" xfId="2" applyNumberFormat="1" applyFont="1"/>
    <xf numFmtId="0" fontId="0" fillId="0" borderId="8" xfId="0" applyBorder="1"/>
    <xf numFmtId="9" fontId="0" fillId="0" borderId="9" xfId="0" applyNumberFormat="1" applyBorder="1" applyAlignment="1">
      <alignment horizontal="center"/>
    </xf>
    <xf numFmtId="44" fontId="0" fillId="0" borderId="10" xfId="1" applyFont="1" applyBorder="1"/>
    <xf numFmtId="6" fontId="0" fillId="0" borderId="12" xfId="0" applyNumberFormat="1" applyBorder="1"/>
    <xf numFmtId="9" fontId="0" fillId="0" borderId="13" xfId="0" applyNumberFormat="1" applyBorder="1" applyAlignment="1">
      <alignment horizontal="center"/>
    </xf>
    <xf numFmtId="44" fontId="0" fillId="0" borderId="6" xfId="1" applyFont="1" applyBorder="1"/>
    <xf numFmtId="0" fontId="0" fillId="0" borderId="11" xfId="0" applyBorder="1"/>
    <xf numFmtId="0" fontId="0" fillId="0" borderId="0" xfId="0" applyAlignment="1">
      <alignment horizontal="right"/>
    </xf>
    <xf numFmtId="44" fontId="0" fillId="0" borderId="0" xfId="1" applyFont="1"/>
    <xf numFmtId="9" fontId="0" fillId="0" borderId="0" xfId="0" applyNumberFormat="1"/>
    <xf numFmtId="0" fontId="0" fillId="0" borderId="3" xfId="0" applyBorder="1"/>
    <xf numFmtId="6" fontId="0" fillId="0" borderId="15" xfId="0" applyNumberFormat="1" applyBorder="1"/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8" fontId="0" fillId="0" borderId="0" xfId="0" applyNumberFormat="1"/>
    <xf numFmtId="0" fontId="2" fillId="5" borderId="11" xfId="0" applyFont="1" applyFill="1" applyBorder="1"/>
    <xf numFmtId="0" fontId="2" fillId="4" borderId="18" xfId="0" applyFont="1" applyFill="1" applyBorder="1" applyAlignment="1">
      <alignment horizontal="center"/>
    </xf>
    <xf numFmtId="0" fontId="0" fillId="4" borderId="8" xfId="0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horizontal="left"/>
    </xf>
    <xf numFmtId="10" fontId="0" fillId="0" borderId="9" xfId="0" applyNumberForma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6" fontId="0" fillId="0" borderId="7" xfId="0" applyNumberFormat="1" applyBorder="1"/>
    <xf numFmtId="44" fontId="0" fillId="0" borderId="8" xfId="1" applyFont="1" applyBorder="1"/>
    <xf numFmtId="44" fontId="0" fillId="0" borderId="11" xfId="1" applyFont="1" applyBorder="1"/>
    <xf numFmtId="44" fontId="0" fillId="0" borderId="16" xfId="1" applyFont="1" applyBorder="1"/>
    <xf numFmtId="9" fontId="0" fillId="0" borderId="18" xfId="0" applyNumberFormat="1" applyBorder="1" applyAlignment="1">
      <alignment horizontal="center"/>
    </xf>
    <xf numFmtId="44" fontId="0" fillId="0" borderId="1" xfId="1" applyFont="1" applyBorder="1"/>
    <xf numFmtId="6" fontId="0" fillId="0" borderId="16" xfId="0" applyNumberFormat="1" applyBorder="1"/>
    <xf numFmtId="10" fontId="0" fillId="0" borderId="0" xfId="0" applyNumberFormat="1" applyAlignment="1">
      <alignment horizontal="center"/>
    </xf>
    <xf numFmtId="165" fontId="0" fillId="0" borderId="12" xfId="0" applyNumberFormat="1" applyBorder="1" applyAlignment="1">
      <alignment horizontal="center"/>
    </xf>
    <xf numFmtId="9" fontId="0" fillId="6" borderId="7" xfId="0" applyNumberFormat="1" applyFill="1" applyBorder="1" applyAlignment="1">
      <alignment horizontal="center"/>
    </xf>
    <xf numFmtId="44" fontId="0" fillId="7" borderId="17" xfId="1" applyFont="1" applyFill="1" applyBorder="1"/>
    <xf numFmtId="44" fontId="0" fillId="7" borderId="0" xfId="1" applyFont="1" applyFill="1" applyBorder="1"/>
    <xf numFmtId="44" fontId="0" fillId="7" borderId="12" xfId="1" applyFont="1" applyFill="1" applyBorder="1"/>
    <xf numFmtId="44" fontId="0" fillId="7" borderId="0" xfId="1" applyFont="1" applyFill="1"/>
    <xf numFmtId="0" fontId="0" fillId="4" borderId="8" xfId="0" applyFill="1" applyBorder="1" applyAlignment="1">
      <alignment horizontal="left"/>
    </xf>
    <xf numFmtId="0" fontId="0" fillId="4" borderId="16" xfId="0" applyFill="1" applyBorder="1" applyAlignment="1">
      <alignment horizontal="center"/>
    </xf>
    <xf numFmtId="44" fontId="2" fillId="4" borderId="9" xfId="0" applyNumberFormat="1" applyFont="1" applyFill="1" applyBorder="1" applyAlignment="1">
      <alignment horizontal="center"/>
    </xf>
    <xf numFmtId="44" fontId="4" fillId="4" borderId="9" xfId="0" applyNumberFormat="1" applyFont="1" applyFill="1" applyBorder="1"/>
    <xf numFmtId="44" fontId="0" fillId="4" borderId="9" xfId="1" applyFont="1" applyFill="1" applyBorder="1" applyAlignment="1">
      <alignment horizontal="center"/>
    </xf>
    <xf numFmtId="44" fontId="2" fillId="4" borderId="9" xfId="0" applyNumberFormat="1" applyFont="1" applyFill="1" applyBorder="1"/>
    <xf numFmtId="10" fontId="0" fillId="4" borderId="9" xfId="2" applyNumberFormat="1" applyFont="1" applyFill="1" applyBorder="1"/>
    <xf numFmtId="44" fontId="2" fillId="5" borderId="13" xfId="0" applyNumberFormat="1" applyFont="1" applyFill="1" applyBorder="1"/>
    <xf numFmtId="0" fontId="0" fillId="4" borderId="9" xfId="0" applyFill="1" applyBorder="1" applyAlignment="1">
      <alignment horizontal="center"/>
    </xf>
    <xf numFmtId="44" fontId="0" fillId="4" borderId="9" xfId="0" applyNumberFormat="1" applyFill="1" applyBorder="1"/>
    <xf numFmtId="0" fontId="2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0" fontId="0" fillId="4" borderId="9" xfId="2" applyNumberFormat="1" applyFont="1" applyFill="1" applyBorder="1" applyAlignment="1">
      <alignment horizontal="right"/>
    </xf>
    <xf numFmtId="44" fontId="0" fillId="7" borderId="8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6" fontId="0" fillId="4" borderId="9" xfId="1" applyNumberFormat="1" applyFont="1" applyFill="1" applyBorder="1" applyAlignment="1">
      <alignment horizontal="right"/>
    </xf>
    <xf numFmtId="44" fontId="0" fillId="0" borderId="0" xfId="1" applyFont="1" applyBorder="1"/>
    <xf numFmtId="10" fontId="0" fillId="0" borderId="9" xfId="2" applyNumberFormat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4" fontId="0" fillId="0" borderId="7" xfId="0" applyNumberFormat="1" applyBorder="1"/>
    <xf numFmtId="9" fontId="0" fillId="0" borderId="17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2" xfId="0" applyNumberFormat="1" applyBorder="1" applyAlignment="1">
      <alignment horizontal="center"/>
    </xf>
    <xf numFmtId="44" fontId="0" fillId="0" borderId="1" xfId="0" applyNumberFormat="1" applyBorder="1"/>
    <xf numFmtId="0" fontId="2" fillId="4" borderId="16" xfId="0" applyFont="1" applyFill="1" applyBorder="1"/>
    <xf numFmtId="0" fontId="2" fillId="4" borderId="5" xfId="0" applyFont="1" applyFill="1" applyBorder="1"/>
    <xf numFmtId="0" fontId="2" fillId="6" borderId="7" xfId="0" applyFont="1" applyFill="1" applyBorder="1" applyAlignment="1">
      <alignment horizontal="right"/>
    </xf>
    <xf numFmtId="0" fontId="2" fillId="5" borderId="8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4" fontId="0" fillId="0" borderId="9" xfId="0" applyNumberFormat="1" applyBorder="1"/>
    <xf numFmtId="44" fontId="0" fillId="0" borderId="18" xfId="1" applyFont="1" applyBorder="1"/>
    <xf numFmtId="0" fontId="5" fillId="0" borderId="18" xfId="0" applyFont="1" applyBorder="1"/>
    <xf numFmtId="0" fontId="0" fillId="0" borderId="16" xfId="0" applyBorder="1"/>
    <xf numFmtId="0" fontId="2" fillId="5" borderId="3" xfId="0" applyFont="1" applyFill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6" fontId="4" fillId="0" borderId="0" xfId="0" applyNumberFormat="1" applyFont="1"/>
    <xf numFmtId="166" fontId="0" fillId="0" borderId="0" xfId="0" applyNumberFormat="1"/>
    <xf numFmtId="44" fontId="2" fillId="4" borderId="0" xfId="0" applyNumberFormat="1" applyFont="1" applyFill="1"/>
    <xf numFmtId="44" fontId="4" fillId="3" borderId="6" xfId="0" applyNumberFormat="1" applyFont="1" applyFill="1" applyBorder="1"/>
    <xf numFmtId="44" fontId="0" fillId="7" borderId="11" xfId="1" applyFont="1" applyFill="1" applyBorder="1"/>
    <xf numFmtId="44" fontId="0" fillId="0" borderId="12" xfId="1" applyFont="1" applyBorder="1"/>
    <xf numFmtId="10" fontId="0" fillId="0" borderId="12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6" fontId="0" fillId="0" borderId="19" xfId="0" applyNumberFormat="1" applyBorder="1"/>
    <xf numFmtId="0" fontId="0" fillId="12" borderId="8" xfId="0" applyFill="1" applyBorder="1"/>
    <xf numFmtId="0" fontId="0" fillId="12" borderId="0" xfId="0" applyFill="1"/>
    <xf numFmtId="0" fontId="0" fillId="12" borderId="9" xfId="0" applyFill="1" applyBorder="1"/>
    <xf numFmtId="44" fontId="0" fillId="12" borderId="8" xfId="1" applyFont="1" applyFill="1" applyBorder="1"/>
    <xf numFmtId="0" fontId="0" fillId="12" borderId="12" xfId="0" applyFill="1" applyBorder="1"/>
    <xf numFmtId="0" fontId="0" fillId="12" borderId="11" xfId="0" applyFill="1" applyBorder="1"/>
    <xf numFmtId="44" fontId="0" fillId="12" borderId="0" xfId="0" applyNumberFormat="1" applyFill="1"/>
    <xf numFmtId="8" fontId="0" fillId="12" borderId="8" xfId="0" applyNumberFormat="1" applyFill="1" applyBorder="1"/>
    <xf numFmtId="0" fontId="0" fillId="12" borderId="7" xfId="0" applyFill="1" applyBorder="1" applyAlignment="1">
      <alignment horizontal="center"/>
    </xf>
    <xf numFmtId="8" fontId="0" fillId="12" borderId="11" xfId="0" applyNumberFormat="1" applyFill="1" applyBorder="1"/>
    <xf numFmtId="44" fontId="0" fillId="12" borderId="7" xfId="1" applyFont="1" applyFill="1" applyBorder="1"/>
    <xf numFmtId="44" fontId="2" fillId="12" borderId="7" xfId="1" applyFont="1" applyFill="1" applyBorder="1"/>
    <xf numFmtId="44" fontId="0" fillId="12" borderId="9" xfId="0" applyNumberFormat="1" applyFill="1" applyBorder="1"/>
    <xf numFmtId="0" fontId="0" fillId="12" borderId="7" xfId="0" applyFill="1" applyBorder="1"/>
    <xf numFmtId="44" fontId="0" fillId="12" borderId="3" xfId="0" applyNumberFormat="1" applyFill="1" applyBorder="1"/>
    <xf numFmtId="44" fontId="0" fillId="12" borderId="7" xfId="0" applyNumberFormat="1" applyFill="1" applyBorder="1"/>
    <xf numFmtId="44" fontId="2" fillId="12" borderId="5" xfId="0" applyNumberFormat="1" applyFont="1" applyFill="1" applyBorder="1"/>
    <xf numFmtId="0" fontId="2" fillId="12" borderId="0" xfId="0" applyFont="1" applyFill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5" fillId="0" borderId="16" xfId="0" applyFont="1" applyBorder="1"/>
    <xf numFmtId="0" fontId="5" fillId="0" borderId="17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44" fontId="0" fillId="0" borderId="15" xfId="0" applyNumberFormat="1" applyBorder="1"/>
    <xf numFmtId="44" fontId="0" fillId="12" borderId="11" xfId="0" applyNumberFormat="1" applyFill="1" applyBorder="1"/>
    <xf numFmtId="44" fontId="0" fillId="12" borderId="6" xfId="0" applyNumberFormat="1" applyFill="1" applyBorder="1"/>
    <xf numFmtId="44" fontId="0" fillId="12" borderId="13" xfId="0" applyNumberFormat="1" applyFill="1" applyBorder="1"/>
    <xf numFmtId="0" fontId="0" fillId="12" borderId="18" xfId="0" applyFill="1" applyBorder="1" applyAlignment="1">
      <alignment horizontal="center"/>
    </xf>
    <xf numFmtId="44" fontId="2" fillId="5" borderId="5" xfId="0" applyNumberFormat="1" applyFont="1" applyFill="1" applyBorder="1"/>
    <xf numFmtId="6" fontId="3" fillId="0" borderId="0" xfId="0" applyNumberFormat="1" applyFont="1" applyAlignment="1">
      <alignment horizontal="center"/>
    </xf>
    <xf numFmtId="6" fontId="2" fillId="5" borderId="13" xfId="0" applyNumberFormat="1" applyFont="1" applyFill="1" applyBorder="1"/>
    <xf numFmtId="8" fontId="4" fillId="3" borderId="6" xfId="0" applyNumberFormat="1" applyFont="1" applyFill="1" applyBorder="1"/>
    <xf numFmtId="167" fontId="0" fillId="0" borderId="0" xfId="3" applyNumberFormat="1" applyFont="1"/>
    <xf numFmtId="0" fontId="0" fillId="0" borderId="7" xfId="0" applyBorder="1"/>
    <xf numFmtId="0" fontId="9" fillId="0" borderId="16" xfId="0" applyFont="1" applyBorder="1"/>
    <xf numFmtId="0" fontId="9" fillId="0" borderId="8" xfId="0" applyFont="1" applyBorder="1"/>
    <xf numFmtId="0" fontId="0" fillId="0" borderId="18" xfId="0" applyBorder="1"/>
    <xf numFmtId="169" fontId="0" fillId="0" borderId="9" xfId="0" applyNumberFormat="1" applyBorder="1"/>
    <xf numFmtId="9" fontId="0" fillId="6" borderId="9" xfId="2" applyFont="1" applyFill="1" applyBorder="1"/>
    <xf numFmtId="168" fontId="0" fillId="0" borderId="13" xfId="0" applyNumberFormat="1" applyBorder="1"/>
    <xf numFmtId="169" fontId="9" fillId="0" borderId="18" xfId="0" applyNumberFormat="1" applyFont="1" applyBorder="1"/>
    <xf numFmtId="169" fontId="9" fillId="0" borderId="9" xfId="0" applyNumberFormat="1" applyFont="1" applyBorder="1"/>
    <xf numFmtId="169" fontId="0" fillId="0" borderId="13" xfId="0" applyNumberFormat="1" applyBorder="1"/>
    <xf numFmtId="169" fontId="0" fillId="0" borderId="0" xfId="0" applyNumberFormat="1"/>
    <xf numFmtId="169" fontId="0" fillId="0" borderId="7" xfId="0" applyNumberFormat="1" applyBorder="1"/>
    <xf numFmtId="164" fontId="0" fillId="0" borderId="0" xfId="1" applyNumberFormat="1" applyFont="1" applyBorder="1"/>
    <xf numFmtId="169" fontId="0" fillId="0" borderId="1" xfId="0" applyNumberFormat="1" applyBorder="1"/>
    <xf numFmtId="169" fontId="9" fillId="0" borderId="0" xfId="0" applyNumberFormat="1" applyFont="1"/>
    <xf numFmtId="170" fontId="0" fillId="0" borderId="0" xfId="3" applyNumberFormat="1" applyFont="1"/>
    <xf numFmtId="9" fontId="4" fillId="6" borderId="6" xfId="0" applyNumberFormat="1" applyFont="1" applyFill="1" applyBorder="1"/>
    <xf numFmtId="0" fontId="2" fillId="0" borderId="7" xfId="0" applyFont="1" applyBorder="1" applyAlignment="1">
      <alignment horizontal="left" indent="1"/>
    </xf>
    <xf numFmtId="44" fontId="0" fillId="12" borderId="11" xfId="1" applyFont="1" applyFill="1" applyBorder="1"/>
    <xf numFmtId="0" fontId="0" fillId="5" borderId="8" xfId="0" applyFill="1" applyBorder="1"/>
    <xf numFmtId="169" fontId="0" fillId="5" borderId="9" xfId="0" applyNumberFormat="1" applyFill="1" applyBorder="1"/>
    <xf numFmtId="10" fontId="2" fillId="4" borderId="9" xfId="2" applyNumberFormat="1" applyFont="1" applyFill="1" applyBorder="1" applyAlignment="1">
      <alignment horizontal="right"/>
    </xf>
    <xf numFmtId="169" fontId="0" fillId="0" borderId="0" xfId="3" applyNumberFormat="1" applyFont="1" applyBorder="1"/>
    <xf numFmtId="0" fontId="0" fillId="13" borderId="7" xfId="0" applyFill="1" applyBorder="1" applyAlignment="1">
      <alignment horizontal="center"/>
    </xf>
    <xf numFmtId="44" fontId="0" fillId="13" borderId="7" xfId="0" applyNumberFormat="1" applyFill="1" applyBorder="1"/>
    <xf numFmtId="44" fontId="0" fillId="13" borderId="1" xfId="1" applyFont="1" applyFill="1" applyBorder="1"/>
    <xf numFmtId="44" fontId="0" fillId="13" borderId="10" xfId="1" applyFont="1" applyFill="1" applyBorder="1"/>
    <xf numFmtId="44" fontId="0" fillId="13" borderId="6" xfId="1" applyFont="1" applyFill="1" applyBorder="1"/>
    <xf numFmtId="44" fontId="0" fillId="13" borderId="7" xfId="1" applyFont="1" applyFill="1" applyBorder="1"/>
    <xf numFmtId="44" fontId="2" fillId="13" borderId="7" xfId="1" applyFont="1" applyFill="1" applyBorder="1"/>
    <xf numFmtId="6" fontId="0" fillId="13" borderId="19" xfId="0" applyNumberFormat="1" applyFill="1" applyBorder="1"/>
    <xf numFmtId="169" fontId="0" fillId="13" borderId="1" xfId="0" applyNumberFormat="1" applyFill="1" applyBorder="1"/>
    <xf numFmtId="44" fontId="0" fillId="13" borderId="18" xfId="1" applyFont="1" applyFill="1" applyBorder="1"/>
    <xf numFmtId="0" fontId="0" fillId="13" borderId="7" xfId="0" applyFill="1" applyBorder="1"/>
    <xf numFmtId="44" fontId="2" fillId="13" borderId="5" xfId="0" applyNumberFormat="1" applyFont="1" applyFill="1" applyBorder="1"/>
    <xf numFmtId="0" fontId="0" fillId="13" borderId="9" xfId="0" applyFill="1" applyBorder="1"/>
    <xf numFmtId="44" fontId="0" fillId="13" borderId="9" xfId="0" applyNumberFormat="1" applyFill="1" applyBorder="1"/>
    <xf numFmtId="164" fontId="0" fillId="7" borderId="12" xfId="1" applyNumberFormat="1" applyFont="1" applyFill="1" applyBorder="1"/>
    <xf numFmtId="0" fontId="2" fillId="12" borderId="1" xfId="0" applyFont="1" applyFill="1" applyBorder="1"/>
    <xf numFmtId="0" fontId="2" fillId="12" borderId="10" xfId="0" applyFont="1" applyFill="1" applyBorder="1"/>
    <xf numFmtId="0" fontId="2" fillId="8" borderId="6" xfId="0" applyFont="1" applyFill="1" applyBorder="1"/>
    <xf numFmtId="169" fontId="6" fillId="6" borderId="7" xfId="1" applyNumberFormat="1" applyFont="1" applyFill="1" applyBorder="1"/>
    <xf numFmtId="165" fontId="0" fillId="0" borderId="5" xfId="2" applyNumberFormat="1" applyFont="1" applyBorder="1"/>
    <xf numFmtId="169" fontId="0" fillId="0" borderId="11" xfId="0" applyNumberFormat="1" applyBorder="1"/>
    <xf numFmtId="165" fontId="0" fillId="9" borderId="18" xfId="2" applyNumberFormat="1" applyFont="1" applyFill="1" applyBorder="1"/>
    <xf numFmtId="169" fontId="2" fillId="4" borderId="9" xfId="0" applyNumberFormat="1" applyFont="1" applyFill="1" applyBorder="1"/>
    <xf numFmtId="168" fontId="0" fillId="4" borderId="9" xfId="0" applyNumberFormat="1" applyFill="1" applyBorder="1"/>
    <xf numFmtId="168" fontId="2" fillId="4" borderId="9" xfId="0" applyNumberFormat="1" applyFont="1" applyFill="1" applyBorder="1"/>
    <xf numFmtId="0" fontId="2" fillId="14" borderId="10" xfId="0" applyFont="1" applyFill="1" applyBorder="1"/>
    <xf numFmtId="0" fontId="2" fillId="8" borderId="1" xfId="0" applyFont="1" applyFill="1" applyBorder="1"/>
    <xf numFmtId="0" fontId="2" fillId="9" borderId="16" xfId="0" applyFont="1" applyFill="1" applyBorder="1"/>
    <xf numFmtId="0" fontId="2" fillId="0" borderId="3" xfId="0" applyFont="1" applyBorder="1"/>
    <xf numFmtId="169" fontId="2" fillId="0" borderId="5" xfId="0" applyNumberFormat="1" applyFont="1" applyBorder="1"/>
    <xf numFmtId="169" fontId="2" fillId="5" borderId="9" xfId="0" applyNumberFormat="1" applyFont="1" applyFill="1" applyBorder="1"/>
    <xf numFmtId="165" fontId="2" fillId="5" borderId="13" xfId="2" applyNumberFormat="1" applyFont="1" applyFill="1" applyBorder="1"/>
    <xf numFmtId="169" fontId="0" fillId="0" borderId="18" xfId="0" applyNumberFormat="1" applyBorder="1"/>
    <xf numFmtId="0" fontId="0" fillId="0" borderId="7" xfId="0" applyBorder="1" applyAlignment="1">
      <alignment horizontal="left"/>
    </xf>
    <xf numFmtId="0" fontId="8" fillId="0" borderId="3" xfId="0" applyFont="1" applyBorder="1"/>
    <xf numFmtId="0" fontId="8" fillId="0" borderId="7" xfId="0" applyFont="1" applyBorder="1" applyAlignment="1">
      <alignment horizontal="left"/>
    </xf>
    <xf numFmtId="44" fontId="0" fillId="0" borderId="1" xfId="1" applyFont="1" applyFill="1" applyBorder="1"/>
    <xf numFmtId="44" fontId="0" fillId="0" borderId="10" xfId="1" applyFont="1" applyFill="1" applyBorder="1"/>
    <xf numFmtId="44" fontId="0" fillId="0" borderId="6" xfId="1" applyFont="1" applyFill="1" applyBorder="1"/>
    <xf numFmtId="44" fontId="2" fillId="0" borderId="7" xfId="1" applyFont="1" applyFill="1" applyBorder="1"/>
    <xf numFmtId="44" fontId="0" fillId="0" borderId="7" xfId="1" applyFont="1" applyFill="1" applyBorder="1"/>
    <xf numFmtId="0" fontId="2" fillId="2" borderId="18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44" fontId="2" fillId="12" borderId="12" xfId="1" applyFont="1" applyFill="1" applyBorder="1"/>
    <xf numFmtId="44" fontId="0" fillId="12" borderId="12" xfId="0" applyNumberFormat="1" applyFill="1" applyBorder="1"/>
    <xf numFmtId="0" fontId="2" fillId="2" borderId="0" xfId="0" applyFont="1" applyFill="1" applyAlignment="1">
      <alignment horizontal="center"/>
    </xf>
    <xf numFmtId="44" fontId="2" fillId="12" borderId="0" xfId="1" applyFont="1" applyFill="1" applyBorder="1"/>
    <xf numFmtId="0" fontId="2" fillId="11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11" borderId="16" xfId="0" applyFont="1" applyFill="1" applyBorder="1"/>
    <xf numFmtId="0" fontId="2" fillId="11" borderId="17" xfId="0" applyFont="1" applyFill="1" applyBorder="1"/>
    <xf numFmtId="0" fontId="2" fillId="11" borderId="18" xfId="0" applyFon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5" borderId="18" xfId="0" applyFont="1" applyFill="1" applyBorder="1"/>
    <xf numFmtId="169" fontId="2" fillId="0" borderId="7" xfId="0" applyNumberFormat="1" applyFont="1" applyBorder="1" applyAlignment="1">
      <alignment horizontal="left" indent="1"/>
    </xf>
    <xf numFmtId="172" fontId="0" fillId="0" borderId="1" xfId="1" applyNumberFormat="1" applyFont="1" applyBorder="1"/>
    <xf numFmtId="0" fontId="0" fillId="12" borderId="3" xfId="0" applyFill="1" applyBorder="1"/>
    <xf numFmtId="9" fontId="0" fillId="0" borderId="0" xfId="2" applyFont="1"/>
    <xf numFmtId="165" fontId="0" fillId="0" borderId="13" xfId="2" applyNumberFormat="1" applyFont="1" applyBorder="1"/>
    <xf numFmtId="44" fontId="0" fillId="0" borderId="10" xfId="0" applyNumberFormat="1" applyBorder="1"/>
    <xf numFmtId="173" fontId="0" fillId="12" borderId="9" xfId="0" applyNumberFormat="1" applyFill="1" applyBorder="1"/>
    <xf numFmtId="173" fontId="0" fillId="12" borderId="1" xfId="0" applyNumberFormat="1" applyFill="1" applyBorder="1"/>
    <xf numFmtId="173" fontId="0" fillId="12" borderId="18" xfId="0" applyNumberFormat="1" applyFill="1" applyBorder="1"/>
    <xf numFmtId="173" fontId="0" fillId="0" borderId="10" xfId="0" applyNumberFormat="1" applyBorder="1"/>
    <xf numFmtId="173" fontId="0" fillId="14" borderId="9" xfId="0" applyNumberFormat="1" applyFill="1" applyBorder="1"/>
    <xf numFmtId="173" fontId="0" fillId="14" borderId="8" xfId="0" applyNumberFormat="1" applyFill="1" applyBorder="1"/>
    <xf numFmtId="173" fontId="0" fillId="14" borderId="10" xfId="0" applyNumberFormat="1" applyFill="1" applyBorder="1"/>
    <xf numFmtId="173" fontId="0" fillId="12" borderId="8" xfId="0" applyNumberFormat="1" applyFill="1" applyBorder="1"/>
    <xf numFmtId="173" fontId="0" fillId="12" borderId="10" xfId="0" applyNumberFormat="1" applyFill="1" applyBorder="1"/>
    <xf numFmtId="0" fontId="2" fillId="0" borderId="11" xfId="0" applyFont="1" applyBorder="1"/>
    <xf numFmtId="169" fontId="2" fillId="6" borderId="13" xfId="3" applyNumberFormat="1" applyFont="1" applyFill="1" applyBorder="1"/>
    <xf numFmtId="0" fontId="0" fillId="0" borderId="1" xfId="0" applyBorder="1"/>
    <xf numFmtId="44" fontId="0" fillId="0" borderId="6" xfId="0" applyNumberFormat="1" applyBorder="1"/>
    <xf numFmtId="44" fontId="0" fillId="0" borderId="7" xfId="1" applyFont="1" applyBorder="1"/>
    <xf numFmtId="172" fontId="0" fillId="0" borderId="7" xfId="1" applyNumberFormat="1" applyFont="1" applyBorder="1"/>
    <xf numFmtId="44" fontId="0" fillId="0" borderId="16" xfId="0" applyNumberFormat="1" applyBorder="1"/>
    <xf numFmtId="0" fontId="0" fillId="12" borderId="4" xfId="0" applyFill="1" applyBorder="1"/>
    <xf numFmtId="0" fontId="0" fillId="16" borderId="7" xfId="0" applyFill="1" applyBorder="1" applyAlignment="1">
      <alignment horizontal="center"/>
    </xf>
    <xf numFmtId="169" fontId="0" fillId="16" borderId="1" xfId="0" applyNumberFormat="1" applyFill="1" applyBorder="1"/>
    <xf numFmtId="44" fontId="0" fillId="16" borderId="1" xfId="1" applyFont="1" applyFill="1" applyBorder="1"/>
    <xf numFmtId="44" fontId="0" fillId="16" borderId="10" xfId="1" applyFont="1" applyFill="1" applyBorder="1"/>
    <xf numFmtId="44" fontId="0" fillId="16" borderId="6" xfId="1" applyFont="1" applyFill="1" applyBorder="1"/>
    <xf numFmtId="0" fontId="0" fillId="16" borderId="7" xfId="0" applyFill="1" applyBorder="1"/>
    <xf numFmtId="44" fontId="2" fillId="16" borderId="7" xfId="1" applyFont="1" applyFill="1" applyBorder="1"/>
    <xf numFmtId="44" fontId="0" fillId="16" borderId="7" xfId="1" applyFont="1" applyFill="1" applyBorder="1"/>
    <xf numFmtId="6" fontId="0" fillId="16" borderId="15" xfId="0" applyNumberFormat="1" applyFill="1" applyBorder="1"/>
    <xf numFmtId="173" fontId="0" fillId="0" borderId="18" xfId="0" applyNumberFormat="1" applyBorder="1"/>
    <xf numFmtId="165" fontId="0" fillId="0" borderId="13" xfId="2" applyNumberFormat="1" applyFont="1" applyFill="1" applyBorder="1"/>
    <xf numFmtId="0" fontId="2" fillId="0" borderId="10" xfId="0" applyFont="1" applyBorder="1"/>
    <xf numFmtId="173" fontId="0" fillId="0" borderId="0" xfId="0" applyNumberFormat="1"/>
    <xf numFmtId="173" fontId="0" fillId="12" borderId="0" xfId="0" applyNumberFormat="1" applyFill="1"/>
    <xf numFmtId="173" fontId="0" fillId="14" borderId="0" xfId="0" applyNumberFormat="1" applyFill="1"/>
    <xf numFmtId="173" fontId="0" fillId="14" borderId="6" xfId="0" applyNumberFormat="1" applyFill="1" applyBorder="1"/>
    <xf numFmtId="173" fontId="0" fillId="14" borderId="1" xfId="0" applyNumberFormat="1" applyFill="1" applyBorder="1"/>
    <xf numFmtId="0" fontId="2" fillId="14" borderId="1" xfId="0" applyFont="1" applyFill="1" applyBorder="1"/>
    <xf numFmtId="0" fontId="2" fillId="14" borderId="6" xfId="0" applyFont="1" applyFill="1" applyBorder="1"/>
    <xf numFmtId="165" fontId="0" fillId="12" borderId="12" xfId="2" applyNumberFormat="1" applyFont="1" applyFill="1" applyBorder="1"/>
    <xf numFmtId="165" fontId="0" fillId="12" borderId="13" xfId="2" applyNumberFormat="1" applyFont="1" applyFill="1" applyBorder="1"/>
    <xf numFmtId="173" fontId="0" fillId="12" borderId="17" xfId="0" applyNumberFormat="1" applyFill="1" applyBorder="1"/>
    <xf numFmtId="165" fontId="0" fillId="12" borderId="6" xfId="2" applyNumberFormat="1" applyFont="1" applyFill="1" applyBorder="1"/>
    <xf numFmtId="173" fontId="0" fillId="0" borderId="27" xfId="0" applyNumberFormat="1" applyBorder="1"/>
    <xf numFmtId="0" fontId="0" fillId="0" borderId="28" xfId="0" applyBorder="1"/>
    <xf numFmtId="44" fontId="2" fillId="0" borderId="29" xfId="0" applyNumberFormat="1" applyFont="1" applyBorder="1" applyAlignment="1">
      <alignment horizontal="center"/>
    </xf>
    <xf numFmtId="0" fontId="2" fillId="0" borderId="30" xfId="0" applyFont="1" applyBorder="1"/>
    <xf numFmtId="0" fontId="2" fillId="0" borderId="31" xfId="0" applyFont="1" applyBorder="1"/>
    <xf numFmtId="173" fontId="0" fillId="0" borderId="32" xfId="0" applyNumberFormat="1" applyBorder="1"/>
    <xf numFmtId="173" fontId="0" fillId="0" borderId="33" xfId="0" applyNumberFormat="1" applyBorder="1"/>
    <xf numFmtId="165" fontId="0" fillId="0" borderId="27" xfId="2" applyNumberFormat="1" applyFont="1" applyBorder="1"/>
    <xf numFmtId="165" fontId="0" fillId="0" borderId="32" xfId="2" applyNumberFormat="1" applyFont="1" applyBorder="1"/>
    <xf numFmtId="0" fontId="0" fillId="8" borderId="11" xfId="0" applyFill="1" applyBorder="1"/>
    <xf numFmtId="0" fontId="0" fillId="15" borderId="16" xfId="0" applyFill="1" applyBorder="1"/>
    <xf numFmtId="0" fontId="0" fillId="15" borderId="18" xfId="0" applyFill="1" applyBorder="1"/>
    <xf numFmtId="0" fontId="0" fillId="15" borderId="8" xfId="0" applyFill="1" applyBorder="1"/>
    <xf numFmtId="169" fontId="0" fillId="15" borderId="9" xfId="0" applyNumberFormat="1" applyFill="1" applyBorder="1"/>
    <xf numFmtId="0" fontId="0" fillId="8" borderId="8" xfId="0" applyFill="1" applyBorder="1"/>
    <xf numFmtId="169" fontId="0" fillId="8" borderId="9" xfId="0" applyNumberFormat="1" applyFill="1" applyBorder="1"/>
    <xf numFmtId="0" fontId="2" fillId="15" borderId="11" xfId="0" applyFont="1" applyFill="1" applyBorder="1"/>
    <xf numFmtId="169" fontId="2" fillId="15" borderId="13" xfId="0" applyNumberFormat="1" applyFont="1" applyFill="1" applyBorder="1"/>
    <xf numFmtId="0" fontId="0" fillId="15" borderId="11" xfId="0" applyFill="1" applyBorder="1"/>
    <xf numFmtId="169" fontId="0" fillId="15" borderId="13" xfId="0" applyNumberFormat="1" applyFill="1" applyBorder="1"/>
    <xf numFmtId="0" fontId="0" fillId="5" borderId="11" xfId="0" applyFill="1" applyBorder="1"/>
    <xf numFmtId="169" fontId="0" fillId="5" borderId="13" xfId="0" applyNumberFormat="1" applyFill="1" applyBorder="1"/>
    <xf numFmtId="0" fontId="2" fillId="8" borderId="16" xfId="0" applyFont="1" applyFill="1" applyBorder="1"/>
    <xf numFmtId="169" fontId="2" fillId="8" borderId="18" xfId="0" applyNumberFormat="1" applyFont="1" applyFill="1" applyBorder="1"/>
    <xf numFmtId="169" fontId="0" fillId="8" borderId="13" xfId="0" applyNumberFormat="1" applyFill="1" applyBorder="1"/>
    <xf numFmtId="44" fontId="0" fillId="0" borderId="1" xfId="0" applyNumberFormat="1" applyBorder="1" applyAlignment="1">
      <alignment horizontal="center"/>
    </xf>
    <xf numFmtId="173" fontId="0" fillId="12" borderId="1" xfId="0" applyNumberFormat="1" applyFill="1" applyBorder="1" applyAlignment="1">
      <alignment vertical="center"/>
    </xf>
    <xf numFmtId="173" fontId="0" fillId="14" borderId="10" xfId="0" applyNumberFormat="1" applyFill="1" applyBorder="1" applyAlignment="1">
      <alignment vertical="center"/>
    </xf>
    <xf numFmtId="169" fontId="2" fillId="0" borderId="5" xfId="3" applyNumberFormat="1" applyFont="1" applyBorder="1"/>
    <xf numFmtId="171" fontId="2" fillId="0" borderId="5" xfId="0" applyNumberFormat="1" applyFont="1" applyBorder="1"/>
    <xf numFmtId="171" fontId="2" fillId="0" borderId="3" xfId="0" applyNumberFormat="1" applyFont="1" applyBorder="1"/>
    <xf numFmtId="44" fontId="0" fillId="0" borderId="19" xfId="0" applyNumberFormat="1" applyBorder="1"/>
    <xf numFmtId="173" fontId="0" fillId="12" borderId="18" xfId="0" applyNumberFormat="1" applyFill="1" applyBorder="1" applyAlignment="1">
      <alignment vertical="center"/>
    </xf>
    <xf numFmtId="0" fontId="2" fillId="0" borderId="8" xfId="0" applyFont="1" applyBorder="1"/>
    <xf numFmtId="0" fontId="10" fillId="0" borderId="0" xfId="0" applyFont="1"/>
    <xf numFmtId="0" fontId="12" fillId="0" borderId="0" xfId="0" applyFont="1"/>
    <xf numFmtId="0" fontId="11" fillId="0" borderId="8" xfId="0" applyFont="1" applyBorder="1"/>
    <xf numFmtId="0" fontId="13" fillId="0" borderId="8" xfId="0" applyFont="1" applyBorder="1"/>
    <xf numFmtId="0" fontId="13" fillId="0" borderId="0" xfId="0" applyFont="1"/>
    <xf numFmtId="0" fontId="13" fillId="0" borderId="9" xfId="0" applyFont="1" applyBorder="1"/>
    <xf numFmtId="10" fontId="13" fillId="0" borderId="9" xfId="0" applyNumberFormat="1" applyFont="1" applyBorder="1"/>
    <xf numFmtId="9" fontId="12" fillId="6" borderId="9" xfId="0" applyNumberFormat="1" applyFont="1" applyFill="1" applyBorder="1"/>
    <xf numFmtId="0" fontId="12" fillId="0" borderId="8" xfId="0" applyFont="1" applyBorder="1"/>
    <xf numFmtId="169" fontId="12" fillId="0" borderId="0" xfId="0" applyNumberFormat="1" applyFont="1"/>
    <xf numFmtId="169" fontId="12" fillId="0" borderId="9" xfId="0" applyNumberFormat="1" applyFont="1" applyBorder="1"/>
    <xf numFmtId="0" fontId="13" fillId="0" borderId="11" xfId="0" applyFont="1" applyBorder="1"/>
    <xf numFmtId="10" fontId="13" fillId="0" borderId="13" xfId="0" applyNumberFormat="1" applyFont="1" applyBorder="1"/>
    <xf numFmtId="9" fontId="12" fillId="6" borderId="13" xfId="0" applyNumberFormat="1" applyFont="1" applyFill="1" applyBorder="1"/>
    <xf numFmtId="0" fontId="12" fillId="0" borderId="11" xfId="0" applyFont="1" applyBorder="1"/>
    <xf numFmtId="169" fontId="12" fillId="0" borderId="12" xfId="0" applyNumberFormat="1" applyFont="1" applyBorder="1"/>
    <xf numFmtId="169" fontId="12" fillId="0" borderId="13" xfId="0" applyNumberFormat="1" applyFont="1" applyBorder="1"/>
    <xf numFmtId="0" fontId="11" fillId="0" borderId="0" xfId="0" applyFont="1"/>
    <xf numFmtId="0" fontId="11" fillId="0" borderId="16" xfId="0" applyFont="1" applyBorder="1"/>
    <xf numFmtId="169" fontId="12" fillId="6" borderId="18" xfId="0" applyNumberFormat="1" applyFont="1" applyFill="1" applyBorder="1"/>
    <xf numFmtId="171" fontId="12" fillId="0" borderId="0" xfId="0" applyNumberFormat="1" applyFont="1"/>
    <xf numFmtId="171" fontId="10" fillId="0" borderId="0" xfId="0" applyNumberFormat="1" applyFont="1"/>
    <xf numFmtId="9" fontId="12" fillId="0" borderId="9" xfId="0" applyNumberFormat="1" applyFont="1" applyBorder="1"/>
    <xf numFmtId="0" fontId="11" fillId="0" borderId="11" xfId="0" applyFont="1" applyBorder="1"/>
    <xf numFmtId="171" fontId="11" fillId="0" borderId="13" xfId="0" applyNumberFormat="1" applyFont="1" applyBorder="1"/>
    <xf numFmtId="165" fontId="11" fillId="6" borderId="9" xfId="2" applyNumberFormat="1" applyFont="1" applyFill="1" applyBorder="1"/>
    <xf numFmtId="173" fontId="0" fillId="0" borderId="17" xfId="0" applyNumberFormat="1" applyBorder="1"/>
    <xf numFmtId="165" fontId="0" fillId="0" borderId="12" xfId="2" applyNumberFormat="1" applyFont="1" applyFill="1" applyBorder="1"/>
    <xf numFmtId="165" fontId="12" fillId="6" borderId="9" xfId="0" applyNumberFormat="1" applyFont="1" applyFill="1" applyBorder="1"/>
    <xf numFmtId="173" fontId="0" fillId="0" borderId="34" xfId="0" applyNumberFormat="1" applyBorder="1"/>
    <xf numFmtId="0" fontId="0" fillId="8" borderId="25" xfId="0" applyFill="1" applyBorder="1"/>
    <xf numFmtId="0" fontId="2" fillId="8" borderId="23" xfId="0" applyFont="1" applyFill="1" applyBorder="1" applyAlignment="1">
      <alignment horizontal="center"/>
    </xf>
    <xf numFmtId="44" fontId="2" fillId="8" borderId="7" xfId="0" applyNumberFormat="1" applyFont="1" applyFill="1" applyBorder="1" applyAlignment="1">
      <alignment horizontal="center"/>
    </xf>
    <xf numFmtId="44" fontId="2" fillId="8" borderId="24" xfId="0" applyNumberFormat="1" applyFont="1" applyFill="1" applyBorder="1" applyAlignment="1">
      <alignment horizontal="center"/>
    </xf>
    <xf numFmtId="44" fontId="2" fillId="8" borderId="1" xfId="0" applyNumberFormat="1" applyFont="1" applyFill="1" applyBorder="1" applyAlignment="1">
      <alignment horizontal="center"/>
    </xf>
    <xf numFmtId="44" fontId="2" fillId="8" borderId="26" xfId="0" applyNumberFormat="1" applyFont="1" applyFill="1" applyBorder="1" applyAlignment="1">
      <alignment horizontal="center"/>
    </xf>
    <xf numFmtId="44" fontId="2" fillId="8" borderId="6" xfId="0" applyNumberFormat="1" applyFont="1" applyFill="1" applyBorder="1" applyAlignment="1">
      <alignment horizontal="center"/>
    </xf>
    <xf numFmtId="44" fontId="2" fillId="8" borderId="10" xfId="0" applyNumberFormat="1" applyFont="1" applyFill="1" applyBorder="1" applyAlignment="1">
      <alignment horizontal="center"/>
    </xf>
    <xf numFmtId="44" fontId="2" fillId="8" borderId="9" xfId="0" applyNumberFormat="1" applyFont="1" applyFill="1" applyBorder="1" applyAlignment="1">
      <alignment horizontal="center"/>
    </xf>
    <xf numFmtId="44" fontId="2" fillId="8" borderId="13" xfId="0" applyNumberFormat="1" applyFont="1" applyFill="1" applyBorder="1" applyAlignment="1">
      <alignment horizontal="center"/>
    </xf>
    <xf numFmtId="44" fontId="2" fillId="0" borderId="17" xfId="0" applyNumberFormat="1" applyFont="1" applyBorder="1" applyAlignment="1">
      <alignment horizontal="center"/>
    </xf>
    <xf numFmtId="44" fontId="2" fillId="0" borderId="35" xfId="0" applyNumberFormat="1" applyFont="1" applyBorder="1" applyAlignment="1">
      <alignment horizontal="center"/>
    </xf>
    <xf numFmtId="165" fontId="0" fillId="0" borderId="34" xfId="2" applyNumberFormat="1" applyFont="1" applyBorder="1"/>
    <xf numFmtId="165" fontId="0" fillId="0" borderId="33" xfId="2" applyNumberFormat="1" applyFont="1" applyBorder="1"/>
    <xf numFmtId="169" fontId="8" fillId="0" borderId="13" xfId="0" applyNumberFormat="1" applyFont="1" applyBorder="1"/>
    <xf numFmtId="169" fontId="0" fillId="0" borderId="5" xfId="0" applyNumberFormat="1" applyBorder="1"/>
    <xf numFmtId="7" fontId="0" fillId="0" borderId="0" xfId="0" applyNumberFormat="1"/>
    <xf numFmtId="0" fontId="2" fillId="0" borderId="0" xfId="0" applyFont="1"/>
    <xf numFmtId="171" fontId="0" fillId="0" borderId="0" xfId="0" applyNumberFormat="1"/>
    <xf numFmtId="1" fontId="0" fillId="0" borderId="0" xfId="0" applyNumberFormat="1"/>
    <xf numFmtId="169" fontId="0" fillId="6" borderId="1" xfId="0" applyNumberFormat="1" applyFill="1" applyBorder="1"/>
    <xf numFmtId="10" fontId="0" fillId="0" borderId="0" xfId="2" applyNumberFormat="1" applyFont="1" applyFill="1" applyAlignment="1">
      <alignment horizontal="center"/>
    </xf>
    <xf numFmtId="169" fontId="2" fillId="0" borderId="0" xfId="0" applyNumberFormat="1" applyFont="1"/>
    <xf numFmtId="8" fontId="2" fillId="0" borderId="0" xfId="0" applyNumberFormat="1" applyFont="1"/>
    <xf numFmtId="6" fontId="2" fillId="0" borderId="0" xfId="0" applyNumberFormat="1" applyFont="1"/>
    <xf numFmtId="0" fontId="2" fillId="8" borderId="3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169" fontId="0" fillId="6" borderId="6" xfId="0" applyNumberFormat="1" applyFill="1" applyBorder="1"/>
    <xf numFmtId="0" fontId="0" fillId="6" borderId="5" xfId="0" applyFill="1" applyBorder="1" applyAlignment="1">
      <alignment horizontal="center"/>
    </xf>
    <xf numFmtId="169" fontId="6" fillId="6" borderId="5" xfId="1" applyNumberFormat="1" applyFont="1" applyFill="1" applyBorder="1"/>
    <xf numFmtId="169" fontId="0" fillId="6" borderId="5" xfId="0" applyNumberFormat="1" applyFill="1" applyBorder="1"/>
    <xf numFmtId="169" fontId="6" fillId="6" borderId="18" xfId="1" applyNumberFormat="1" applyFont="1" applyFill="1" applyBorder="1"/>
    <xf numFmtId="0" fontId="2" fillId="0" borderId="1" xfId="0" applyFont="1" applyBorder="1"/>
    <xf numFmtId="0" fontId="2" fillId="0" borderId="6" xfId="0" applyFont="1" applyBorder="1"/>
    <xf numFmtId="173" fontId="0" fillId="0" borderId="9" xfId="0" applyNumberFormat="1" applyBorder="1"/>
    <xf numFmtId="173" fontId="0" fillId="0" borderId="9" xfId="0" applyNumberFormat="1" applyBorder="1" applyAlignment="1">
      <alignment vertical="center"/>
    </xf>
    <xf numFmtId="173" fontId="0" fillId="0" borderId="10" xfId="0" applyNumberFormat="1" applyBorder="1" applyAlignment="1">
      <alignment vertical="center"/>
    </xf>
    <xf numFmtId="173" fontId="0" fillId="14" borderId="18" xfId="0" applyNumberFormat="1" applyFill="1" applyBorder="1" applyAlignment="1">
      <alignment vertical="center"/>
    </xf>
    <xf numFmtId="173" fontId="0" fillId="14" borderId="1" xfId="0" applyNumberFormat="1" applyFill="1" applyBorder="1" applyAlignment="1">
      <alignment vertical="center"/>
    </xf>
    <xf numFmtId="173" fontId="0" fillId="14" borderId="18" xfId="0" applyNumberFormat="1" applyFill="1" applyBorder="1"/>
    <xf numFmtId="1" fontId="0" fillId="6" borderId="10" xfId="0" applyNumberFormat="1" applyFill="1" applyBorder="1"/>
    <xf numFmtId="171" fontId="0" fillId="6" borderId="6" xfId="0" applyNumberFormat="1" applyFill="1" applyBorder="1"/>
    <xf numFmtId="173" fontId="0" fillId="0" borderId="12" xfId="0" applyNumberFormat="1" applyBorder="1"/>
    <xf numFmtId="0" fontId="2" fillId="0" borderId="7" xfId="0" applyFont="1" applyBorder="1"/>
    <xf numFmtId="0" fontId="2" fillId="8" borderId="36" xfId="0" applyFont="1" applyFill="1" applyBorder="1" applyAlignment="1">
      <alignment horizontal="center"/>
    </xf>
    <xf numFmtId="44" fontId="2" fillId="8" borderId="11" xfId="0" applyNumberFormat="1" applyFont="1" applyFill="1" applyBorder="1" applyAlignment="1">
      <alignment horizontal="center"/>
    </xf>
    <xf numFmtId="44" fontId="2" fillId="8" borderId="0" xfId="0" applyNumberFormat="1" applyFont="1" applyFill="1" applyAlignment="1">
      <alignment horizontal="center"/>
    </xf>
    <xf numFmtId="169" fontId="0" fillId="6" borderId="13" xfId="0" applyNumberFormat="1" applyFill="1" applyBorder="1"/>
    <xf numFmtId="171" fontId="0" fillId="6" borderId="13" xfId="0" applyNumberFormat="1" applyFill="1" applyBorder="1"/>
    <xf numFmtId="44" fontId="14" fillId="19" borderId="6" xfId="0" applyNumberFormat="1" applyFont="1" applyFill="1" applyBorder="1" applyAlignment="1">
      <alignment horizontal="center"/>
    </xf>
    <xf numFmtId="44" fontId="14" fillId="19" borderId="13" xfId="0" applyNumberFormat="1" applyFont="1" applyFill="1" applyBorder="1" applyAlignment="1">
      <alignment horizontal="center"/>
    </xf>
    <xf numFmtId="44" fontId="14" fillId="19" borderId="9" xfId="0" applyNumberFormat="1" applyFont="1" applyFill="1" applyBorder="1" applyAlignment="1">
      <alignment horizontal="center"/>
    </xf>
    <xf numFmtId="0" fontId="8" fillId="0" borderId="10" xfId="0" applyFont="1" applyBorder="1"/>
    <xf numFmtId="0" fontId="8" fillId="0" borderId="9" xfId="0" applyFont="1" applyBorder="1"/>
    <xf numFmtId="0" fontId="8" fillId="0" borderId="18" xfId="0" applyFont="1" applyBorder="1"/>
    <xf numFmtId="0" fontId="8" fillId="0" borderId="0" xfId="0" applyFont="1"/>
    <xf numFmtId="169" fontId="8" fillId="20" borderId="6" xfId="0" applyNumberFormat="1" applyFont="1" applyFill="1" applyBorder="1"/>
    <xf numFmtId="169" fontId="8" fillId="20" borderId="13" xfId="0" applyNumberFormat="1" applyFont="1" applyFill="1" applyBorder="1"/>
    <xf numFmtId="171" fontId="8" fillId="20" borderId="6" xfId="0" applyNumberFormat="1" applyFont="1" applyFill="1" applyBorder="1"/>
    <xf numFmtId="171" fontId="8" fillId="20" borderId="13" xfId="0" applyNumberFormat="1" applyFont="1" applyFill="1" applyBorder="1"/>
    <xf numFmtId="44" fontId="2" fillId="0" borderId="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4" fontId="2" fillId="0" borderId="7" xfId="0" applyNumberFormat="1" applyFont="1" applyBorder="1" applyAlignment="1">
      <alignment horizontal="center"/>
    </xf>
    <xf numFmtId="173" fontId="0" fillId="0" borderId="6" xfId="0" applyNumberFormat="1" applyBorder="1"/>
    <xf numFmtId="165" fontId="0" fillId="0" borderId="10" xfId="2" applyNumberFormat="1" applyFont="1" applyBorder="1"/>
    <xf numFmtId="165" fontId="0" fillId="0" borderId="6" xfId="2" applyNumberFormat="1" applyFont="1" applyBorder="1"/>
    <xf numFmtId="173" fontId="0" fillId="0" borderId="1" xfId="0" applyNumberFormat="1" applyBorder="1"/>
    <xf numFmtId="165" fontId="0" fillId="0" borderId="6" xfId="2" applyNumberFormat="1" applyFont="1" applyFill="1" applyBorder="1"/>
    <xf numFmtId="10" fontId="0" fillId="0" borderId="0" xfId="2" applyNumberFormat="1" applyFont="1" applyFill="1"/>
    <xf numFmtId="165" fontId="0" fillId="0" borderId="0" xfId="2" applyNumberFormat="1" applyFont="1"/>
    <xf numFmtId="0" fontId="2" fillId="18" borderId="0" xfId="0" applyFont="1" applyFill="1"/>
    <xf numFmtId="171" fontId="2" fillId="0" borderId="0" xfId="0" applyNumberFormat="1" applyFont="1"/>
    <xf numFmtId="0" fontId="0" fillId="0" borderId="9" xfId="0" applyBorder="1"/>
    <xf numFmtId="169" fontId="0" fillId="0" borderId="0" xfId="2" applyNumberFormat="1" applyFont="1" applyFill="1" applyAlignment="1">
      <alignment horizontal="center"/>
    </xf>
    <xf numFmtId="9" fontId="0" fillId="0" borderId="10" xfId="2" applyFont="1" applyFill="1" applyBorder="1"/>
    <xf numFmtId="9" fontId="0" fillId="6" borderId="6" xfId="2" applyFont="1" applyFill="1" applyBorder="1"/>
    <xf numFmtId="9" fontId="0" fillId="6" borderId="7" xfId="2" applyFont="1" applyFill="1" applyBorder="1"/>
    <xf numFmtId="165" fontId="0" fillId="6" borderId="7" xfId="2" applyNumberFormat="1" applyFont="1" applyFill="1" applyBorder="1"/>
    <xf numFmtId="0" fontId="0" fillId="6" borderId="7" xfId="0" applyFill="1" applyBorder="1"/>
    <xf numFmtId="0" fontId="2" fillId="0" borderId="9" xfId="0" applyFont="1" applyBorder="1"/>
    <xf numFmtId="6" fontId="0" fillId="0" borderId="13" xfId="0" applyNumberFormat="1" applyBorder="1"/>
    <xf numFmtId="169" fontId="0" fillId="0" borderId="6" xfId="0" applyNumberFormat="1" applyBorder="1"/>
    <xf numFmtId="173" fontId="0" fillId="0" borderId="13" xfId="0" applyNumberFormat="1" applyBorder="1"/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14" fillId="19" borderId="3" xfId="0" applyFont="1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170" fontId="2" fillId="8" borderId="3" xfId="3" applyNumberFormat="1" applyFont="1" applyFill="1" applyBorder="1" applyAlignment="1">
      <alignment horizontal="center"/>
    </xf>
    <xf numFmtId="170" fontId="2" fillId="8" borderId="5" xfId="3" applyNumberFormat="1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167" fontId="2" fillId="8" borderId="3" xfId="3" applyNumberFormat="1" applyFont="1" applyFill="1" applyBorder="1" applyAlignment="1">
      <alignment horizontal="center"/>
    </xf>
    <xf numFmtId="167" fontId="2" fillId="8" borderId="4" xfId="3" applyNumberFormat="1" applyFont="1" applyFill="1" applyBorder="1" applyAlignment="1">
      <alignment horizontal="center"/>
    </xf>
    <xf numFmtId="167" fontId="2" fillId="8" borderId="5" xfId="3" applyNumberFormat="1" applyFont="1" applyFill="1" applyBorder="1" applyAlignment="1">
      <alignment horizontal="center"/>
    </xf>
    <xf numFmtId="167" fontId="2" fillId="2" borderId="3" xfId="3" applyNumberFormat="1" applyFont="1" applyFill="1" applyBorder="1" applyAlignment="1">
      <alignment horizontal="center"/>
    </xf>
    <xf numFmtId="167" fontId="2" fillId="2" borderId="5" xfId="3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4" fontId="4" fillId="3" borderId="21" xfId="0" applyNumberFormat="1" applyFont="1" applyFill="1" applyBorder="1" applyAlignment="1">
      <alignment horizontal="center"/>
    </xf>
    <xf numFmtId="6" fontId="4" fillId="3" borderId="22" xfId="0" applyNumberFormat="1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16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center"/>
    </xf>
    <xf numFmtId="0" fontId="13" fillId="8" borderId="18" xfId="0" applyFont="1" applyFill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BDB4D1"/>
      <color rgb="FFBBD1E3"/>
      <color rgb="FF9DA6C2"/>
      <color rgb="FF9A8FC3"/>
      <color rgb="FFFEDDDA"/>
      <color rgb="FFFEB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Retirement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'Roth comparison'!$T$1</c:f>
              <c:strCache>
                <c:ptCount val="1"/>
                <c:pt idx="0">
                  <c:v>Roth IRA (Post Strategy)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'Roth comparison'!$S$2:$S$36</c:f>
              <c:numCache>
                <c:formatCode>General</c:formatCode>
                <c:ptCount val="35"/>
                <c:pt idx="0" formatCode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  <c:pt idx="21">
                  <c:v>86</c:v>
                </c:pt>
                <c:pt idx="22">
                  <c:v>87</c:v>
                </c:pt>
                <c:pt idx="23">
                  <c:v>88</c:v>
                </c:pt>
                <c:pt idx="24">
                  <c:v>89</c:v>
                </c:pt>
                <c:pt idx="25">
                  <c:v>90</c:v>
                </c:pt>
                <c:pt idx="26">
                  <c:v>91</c:v>
                </c:pt>
                <c:pt idx="27">
                  <c:v>92</c:v>
                </c:pt>
                <c:pt idx="28">
                  <c:v>93</c:v>
                </c:pt>
                <c:pt idx="29">
                  <c:v>94</c:v>
                </c:pt>
                <c:pt idx="30">
                  <c:v>95</c:v>
                </c:pt>
                <c:pt idx="31">
                  <c:v>96</c:v>
                </c:pt>
                <c:pt idx="32">
                  <c:v>97</c:v>
                </c:pt>
                <c:pt idx="33">
                  <c:v>98</c:v>
                </c:pt>
                <c:pt idx="34">
                  <c:v>99</c:v>
                </c:pt>
              </c:numCache>
            </c:numRef>
          </c:cat>
          <c:val>
            <c:numRef>
              <c:f>'Roth comparison'!$T$2:$T$36</c:f>
              <c:numCache>
                <c:formatCode>"$"#,##0</c:formatCode>
                <c:ptCount val="35"/>
                <c:pt idx="0">
                  <c:v>13235.941010526316</c:v>
                </c:pt>
                <c:pt idx="1">
                  <c:v>13595.958606012633</c:v>
                </c:pt>
                <c:pt idx="2">
                  <c:v>13965.768680096178</c:v>
                </c:pt>
                <c:pt idx="3">
                  <c:v>14345.637588194795</c:v>
                </c:pt>
                <c:pt idx="4">
                  <c:v>14735.838930593694</c:v>
                </c:pt>
                <c:pt idx="5">
                  <c:v>15136.653749505846</c:v>
                </c:pt>
                <c:pt idx="6">
                  <c:v>15548.370731492403</c:v>
                </c:pt>
                <c:pt idx="7">
                  <c:v>15971.286415388999</c:v>
                </c:pt>
                <c:pt idx="8">
                  <c:v>16405.70540588758</c:v>
                </c:pt>
                <c:pt idx="9">
                  <c:v>16851.940592927724</c:v>
                </c:pt>
                <c:pt idx="10">
                  <c:v>17591.781887251378</c:v>
                </c:pt>
                <c:pt idx="11">
                  <c:v>18743.783806619067</c:v>
                </c:pt>
                <c:pt idx="12">
                  <c:v>19880.688422662472</c:v>
                </c:pt>
                <c:pt idx="13">
                  <c:v>21175.644173102261</c:v>
                </c:pt>
                <c:pt idx="14">
                  <c:v>22550.55566680606</c:v>
                </c:pt>
                <c:pt idx="15">
                  <c:v>24009.643600296928</c:v>
                </c:pt>
                <c:pt idx="16">
                  <c:v>25425.470006417534</c:v>
                </c:pt>
                <c:pt idx="17">
                  <c:v>27058.197485748562</c:v>
                </c:pt>
                <c:pt idx="18">
                  <c:v>28625.127001166205</c:v>
                </c:pt>
                <c:pt idx="19">
                  <c:v>30446.571094276125</c:v>
                </c:pt>
                <c:pt idx="20">
                  <c:v>32170.608182489512</c:v>
                </c:pt>
                <c:pt idx="21">
                  <c:v>33969.622455852412</c:v>
                </c:pt>
                <c:pt idx="22">
                  <c:v>35842.669694043172</c:v>
                </c:pt>
                <c:pt idx="23">
                  <c:v>37511.839275415397</c:v>
                </c:pt>
                <c:pt idx="24">
                  <c:v>39515.37859795503</c:v>
                </c:pt>
                <c:pt idx="25">
                  <c:v>41241.747187521425</c:v>
                </c:pt>
                <c:pt idx="26">
                  <c:v>42977.486808283189</c:v>
                </c:pt>
                <c:pt idx="27">
                  <c:v>44708.524471394609</c:v>
                </c:pt>
                <c:pt idx="28">
                  <c:v>46417.186891786529</c:v>
                </c:pt>
                <c:pt idx="29">
                  <c:v>47575.173554244779</c:v>
                </c:pt>
                <c:pt idx="30">
                  <c:v>48617.550952343401</c:v>
                </c:pt>
                <c:pt idx="31">
                  <c:v>48924.304547637941</c:v>
                </c:pt>
                <c:pt idx="32">
                  <c:v>49664.441462589399</c:v>
                </c:pt>
                <c:pt idx="33">
                  <c:v>49501.161107095955</c:v>
                </c:pt>
                <c:pt idx="34">
                  <c:v>49071.66573866675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A-384D-AA1A-AF8DEBF32EBA}"/>
            </c:ext>
          </c:extLst>
        </c:ser>
        <c:ser>
          <c:idx val="1"/>
          <c:order val="1"/>
          <c:tx>
            <c:strRef>
              <c:f>'Roth comparison'!$U$1</c:f>
              <c:strCache>
                <c:ptCount val="1"/>
                <c:pt idx="0">
                  <c:v>Roth IRA (No Strategy) Income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'Roth comparison'!$S$2:$S$36</c:f>
              <c:numCache>
                <c:formatCode>General</c:formatCode>
                <c:ptCount val="35"/>
                <c:pt idx="0" formatCode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  <c:pt idx="21">
                  <c:v>86</c:v>
                </c:pt>
                <c:pt idx="22">
                  <c:v>87</c:v>
                </c:pt>
                <c:pt idx="23">
                  <c:v>88</c:v>
                </c:pt>
                <c:pt idx="24">
                  <c:v>89</c:v>
                </c:pt>
                <c:pt idx="25">
                  <c:v>90</c:v>
                </c:pt>
                <c:pt idx="26">
                  <c:v>91</c:v>
                </c:pt>
                <c:pt idx="27">
                  <c:v>92</c:v>
                </c:pt>
                <c:pt idx="28">
                  <c:v>93</c:v>
                </c:pt>
                <c:pt idx="29">
                  <c:v>94</c:v>
                </c:pt>
                <c:pt idx="30">
                  <c:v>95</c:v>
                </c:pt>
                <c:pt idx="31">
                  <c:v>96</c:v>
                </c:pt>
                <c:pt idx="32">
                  <c:v>97</c:v>
                </c:pt>
                <c:pt idx="33">
                  <c:v>98</c:v>
                </c:pt>
                <c:pt idx="34">
                  <c:v>99</c:v>
                </c:pt>
              </c:numCache>
            </c:numRef>
          </c:cat>
          <c:val>
            <c:numRef>
              <c:f>'Roth comparison'!$U$2:$U$36</c:f>
              <c:numCache>
                <c:formatCode>"$"#,##0.00</c:formatCode>
                <c:ptCount val="35"/>
                <c:pt idx="0">
                  <c:v>11241.301600000003</c:v>
                </c:pt>
                <c:pt idx="1">
                  <c:v>11547.065003520001</c:v>
                </c:pt>
                <c:pt idx="2">
                  <c:v>11861.145171615746</c:v>
                </c:pt>
                <c:pt idx="3">
                  <c:v>12183.768320283694</c:v>
                </c:pt>
                <c:pt idx="4">
                  <c:v>12515.166818595413</c:v>
                </c:pt>
                <c:pt idx="5">
                  <c:v>12855.579356061207</c:v>
                </c:pt>
                <c:pt idx="6">
                  <c:v>13205.25111454607</c:v>
                </c:pt>
                <c:pt idx="7">
                  <c:v>13564.433944861725</c:v>
                </c:pt>
                <c:pt idx="8">
                  <c:v>13933.386548161963</c:v>
                </c:pt>
                <c:pt idx="9">
                  <c:v>14312.374662271968</c:v>
                </c:pt>
                <c:pt idx="10">
                  <c:v>14940.722818176589</c:v>
                </c:pt>
                <c:pt idx="11">
                  <c:v>15919.119519181235</c:v>
                </c:pt>
                <c:pt idx="12">
                  <c:v>16884.694061196205</c:v>
                </c:pt>
                <c:pt idx="13">
                  <c:v>17984.501633455031</c:v>
                </c:pt>
                <c:pt idx="14">
                  <c:v>19152.215720556138</c:v>
                </c:pt>
                <c:pt idx="15">
                  <c:v>20391.420965445592</c:v>
                </c:pt>
                <c:pt idx="16">
                  <c:v>21593.884139902795</c:v>
                </c:pt>
                <c:pt idx="17">
                  <c:v>22980.561672778716</c:v>
                </c:pt>
                <c:pt idx="18">
                  <c:v>24311.356910891605</c:v>
                </c:pt>
                <c:pt idx="19">
                  <c:v>25858.311704804888</c:v>
                </c:pt>
                <c:pt idx="20">
                  <c:v>27322.53860508947</c:v>
                </c:pt>
                <c:pt idx="21">
                  <c:v>28850.443724453027</c:v>
                </c:pt>
                <c:pt idx="22">
                  <c:v>30441.225135370787</c:v>
                </c:pt>
                <c:pt idx="23">
                  <c:v>31858.852992039883</c:v>
                </c:pt>
                <c:pt idx="24">
                  <c:v>33560.461496808522</c:v>
                </c:pt>
                <c:pt idx="25">
                  <c:v>35026.668544169101</c:v>
                </c:pt>
                <c:pt idx="26">
                  <c:v>36500.834420288906</c:v>
                </c:pt>
                <c:pt idx="27">
                  <c:v>37971.006917772771</c:v>
                </c:pt>
                <c:pt idx="28">
                  <c:v>39422.176093046073</c:v>
                </c:pt>
                <c:pt idx="29">
                  <c:v>40405.655643998907</c:v>
                </c:pt>
                <c:pt idx="30">
                  <c:v>41290.948099120244</c:v>
                </c:pt>
                <c:pt idx="31">
                  <c:v>41551.474319269451</c:v>
                </c:pt>
                <c:pt idx="32">
                  <c:v>42180.073546150714</c:v>
                </c:pt>
                <c:pt idx="33">
                  <c:v>42041.399331752415</c:v>
                </c:pt>
                <c:pt idx="34">
                  <c:v>41676.628366962213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A-384D-AA1A-AF8DEBF32EBA}"/>
            </c:ext>
          </c:extLst>
        </c:ser>
        <c:ser>
          <c:idx val="2"/>
          <c:order val="2"/>
          <c:tx>
            <c:strRef>
              <c:f>'Roth comparison'!$V$1</c:f>
              <c:strCache>
                <c:ptCount val="1"/>
                <c:pt idx="0">
                  <c:v>Traditional IRA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'Roth comparison'!$S$2:$S$36</c:f>
              <c:numCache>
                <c:formatCode>General</c:formatCode>
                <c:ptCount val="35"/>
                <c:pt idx="0" formatCode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  <c:pt idx="21">
                  <c:v>86</c:v>
                </c:pt>
                <c:pt idx="22">
                  <c:v>87</c:v>
                </c:pt>
                <c:pt idx="23">
                  <c:v>88</c:v>
                </c:pt>
                <c:pt idx="24">
                  <c:v>89</c:v>
                </c:pt>
                <c:pt idx="25">
                  <c:v>90</c:v>
                </c:pt>
                <c:pt idx="26">
                  <c:v>91</c:v>
                </c:pt>
                <c:pt idx="27">
                  <c:v>92</c:v>
                </c:pt>
                <c:pt idx="28">
                  <c:v>93</c:v>
                </c:pt>
                <c:pt idx="29">
                  <c:v>94</c:v>
                </c:pt>
                <c:pt idx="30">
                  <c:v>95</c:v>
                </c:pt>
                <c:pt idx="31">
                  <c:v>96</c:v>
                </c:pt>
                <c:pt idx="32">
                  <c:v>97</c:v>
                </c:pt>
                <c:pt idx="33">
                  <c:v>98</c:v>
                </c:pt>
                <c:pt idx="34">
                  <c:v>99</c:v>
                </c:pt>
              </c:numCache>
            </c:numRef>
          </c:cat>
          <c:val>
            <c:numRef>
              <c:f>'Roth comparison'!$V$2:$V$36</c:f>
              <c:numCache>
                <c:formatCode>"$"#,##0.00</c:formatCode>
                <c:ptCount val="35"/>
                <c:pt idx="0">
                  <c:v>11700</c:v>
                </c:pt>
                <c:pt idx="1">
                  <c:v>12018.240000000002</c:v>
                </c:pt>
                <c:pt idx="2">
                  <c:v>12345.136128</c:v>
                </c:pt>
                <c:pt idx="3">
                  <c:v>12680.923830681602</c:v>
                </c:pt>
                <c:pt idx="4">
                  <c:v>13025.844958876141</c:v>
                </c:pt>
                <c:pt idx="5">
                  <c:v>13380.147941757572</c:v>
                </c:pt>
                <c:pt idx="6">
                  <c:v>13744.087965773379</c:v>
                </c:pt>
                <c:pt idx="7">
                  <c:v>14117.927158442415</c:v>
                </c:pt>
                <c:pt idx="8">
                  <c:v>14501.93477715205</c:v>
                </c:pt>
                <c:pt idx="9">
                  <c:v>14896.387403090586</c:v>
                </c:pt>
                <c:pt idx="10">
                  <c:v>15550.375142738461</c:v>
                </c:pt>
                <c:pt idx="11">
                  <c:v>16568.695067697539</c:v>
                </c:pt>
                <c:pt idx="12">
                  <c:v>17573.669628790634</c:v>
                </c:pt>
                <c:pt idx="13">
                  <c:v>18718.354564156863</c:v>
                </c:pt>
                <c:pt idx="14">
                  <c:v>19933.716922113967</c:v>
                </c:pt>
                <c:pt idx="15">
                  <c:v>21223.487616034912</c:v>
                </c:pt>
                <c:pt idx="16">
                  <c:v>22475.016988856769</c:v>
                </c:pt>
                <c:pt idx="17">
                  <c:v>23918.277539276325</c:v>
                </c:pt>
                <c:pt idx="18">
                  <c:v>25303.375532370013</c:v>
                </c:pt>
                <c:pt idx="19">
                  <c:v>26913.453415947602</c:v>
                </c:pt>
                <c:pt idx="20">
                  <c:v>28437.427715625643</c:v>
                </c:pt>
                <c:pt idx="21">
                  <c:v>30027.678607617869</c:v>
                </c:pt>
                <c:pt idx="22">
                  <c:v>31683.371441954587</c:v>
                </c:pt>
                <c:pt idx="23">
                  <c:v>33158.845236112764</c:v>
                </c:pt>
                <c:pt idx="24">
                  <c:v>34929.887435157856</c:v>
                </c:pt>
                <c:pt idx="25">
                  <c:v>36455.922681300413</c:v>
                </c:pt>
                <c:pt idx="26">
                  <c:v>37990.241514148183</c:v>
                </c:pt>
                <c:pt idx="27">
                  <c:v>39520.404019579153</c:v>
                </c:pt>
                <c:pt idx="28">
                  <c:v>41030.787777159123</c:v>
                </c:pt>
                <c:pt idx="29">
                  <c:v>42054.397956441942</c:v>
                </c:pt>
                <c:pt idx="30">
                  <c:v>42975.814540880849</c:v>
                </c:pt>
                <c:pt idx="31">
                  <c:v>43246.971465960218</c:v>
                </c:pt>
                <c:pt idx="32">
                  <c:v>43901.220521470903</c:v>
                </c:pt>
                <c:pt idx="33">
                  <c:v>43756.887741674283</c:v>
                </c:pt>
                <c:pt idx="34">
                  <c:v>43377.232392150938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A-384D-AA1A-AF8DEBF3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858688"/>
        <c:axId val="1271037248"/>
      </c:barChart>
      <c:catAx>
        <c:axId val="13638586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37248"/>
        <c:crosses val="autoZero"/>
        <c:auto val="1"/>
        <c:lblAlgn val="ctr"/>
        <c:lblOffset val="100"/>
        <c:noMultiLvlLbl val="0"/>
      </c:catAx>
      <c:valAx>
        <c:axId val="127103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5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 value at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38-974F-8B0B-E00CBE1AA5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38-974F-8B0B-E00CBE1AA5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'Roth comparison'!$N$4:$P$4</c:f>
              <c:strCache>
                <c:ptCount val="3"/>
                <c:pt idx="0">
                  <c:v>Roth IRA (Post Strategy) at 100</c:v>
                </c:pt>
                <c:pt idx="1">
                  <c:v>Roth IRA (No Strategy) at 100</c:v>
                </c:pt>
                <c:pt idx="2">
                  <c:v>Traditional IRA at 100 (post tax)</c:v>
                </c:pt>
              </c:strCache>
            </c:strRef>
          </c:cat>
          <c:val>
            <c:numRef>
              <c:f>'Roth comparison'!$N$5:$P$5</c:f>
              <c:numCache>
                <c:formatCode>"$"#,##0</c:formatCode>
                <c:ptCount val="3"/>
                <c:pt idx="0">
                  <c:v>304538.75757416582</c:v>
                </c:pt>
                <c:pt idx="1">
                  <c:v>258645.15564536751</c:v>
                </c:pt>
                <c:pt idx="2">
                  <c:v>269199.10422568873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974F-8B0B-E00CBE1AA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749632"/>
        <c:axId val="1278748736"/>
      </c:barChart>
      <c:catAx>
        <c:axId val="12787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48736"/>
        <c:crosses val="autoZero"/>
        <c:auto val="1"/>
        <c:lblAlgn val="ctr"/>
        <c:lblOffset val="100"/>
        <c:noMultiLvlLbl val="0"/>
      </c:catAx>
      <c:valAx>
        <c:axId val="127874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 on accounts (present value)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45-724E-B16E-8A9D2DB03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45-724E-B16E-8A9D2DB03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'Roth comparison'!$N$2:$P$2</c:f>
              <c:strCache>
                <c:ptCount val="3"/>
                <c:pt idx="0">
                  <c:v>Roth Conversion Tax w/ Savings</c:v>
                </c:pt>
                <c:pt idx="1">
                  <c:v>Roth conversion tax</c:v>
                </c:pt>
                <c:pt idx="2">
                  <c:v>PV Traditional IRA RMD Tax</c:v>
                </c:pt>
              </c:strCache>
            </c:strRef>
          </c:cat>
          <c:val>
            <c:numRef>
              <c:f>'Roth comparison'!$N$3:$P$3</c:f>
              <c:numCache>
                <c:formatCode>"$"#,##0</c:formatCode>
                <c:ptCount val="3"/>
                <c:pt idx="0">
                  <c:v>119101.47473684215</c:v>
                </c:pt>
                <c:pt idx="1">
                  <c:v>168967.46</c:v>
                </c:pt>
                <c:pt idx="2" formatCode="&quot;$&quot;#,##0_);[Red]\(&quot;$&quot;#,##0\)">
                  <c:v>151199.99999999994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5-724E-B16E-8A9D2DB0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842176"/>
        <c:axId val="1251838592"/>
      </c:barChart>
      <c:catAx>
        <c:axId val="12518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38592"/>
        <c:crosses val="autoZero"/>
        <c:auto val="1"/>
        <c:lblAlgn val="ctr"/>
        <c:lblOffset val="100"/>
        <c:noMultiLvlLbl val="0"/>
      </c:catAx>
      <c:valAx>
        <c:axId val="12518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4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</xdr:colOff>
      <xdr:row>7</xdr:row>
      <xdr:rowOff>152400</xdr:rowOff>
    </xdr:from>
    <xdr:to>
      <xdr:col>17</xdr:col>
      <xdr:colOff>2781300</xdr:colOff>
      <xdr:row>35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205E62-CD5F-0B31-A6D3-DFD1900ED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37</xdr:row>
      <xdr:rowOff>127000</xdr:rowOff>
    </xdr:from>
    <xdr:to>
      <xdr:col>17</xdr:col>
      <xdr:colOff>2819400</xdr:colOff>
      <xdr:row>59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2A9D99-144D-A776-BCC8-2AAAA29BD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120650</xdr:colOff>
      <xdr:row>61</xdr:row>
      <xdr:rowOff>101600</xdr:rowOff>
    </xdr:from>
    <xdr:to>
      <xdr:col>17</xdr:col>
      <xdr:colOff>2832100</xdr:colOff>
      <xdr:row>88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6E4E29-1B26-DBFB-8DE5-CA8796770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uehart, Matthew A" id="{08CCC200-032C-884B-BF34-5326249207F7}" userId="S::mat220001@utdallas.edu::9084df3e-e0f9-4d06-ba68-4a97f28243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5-08-22T04:33:37.15" personId="{08CCC200-032C-884B-BF34-5326249207F7}" id="{0482EC6E-CBD5-D54A-BB8C-9102FB96325F}">
    <text>Calculate using goal seek: Set solar tax benefit to value of reducible taxes by changing equity contribution input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8" dT="2025-08-22T04:33:37.15" personId="{08CCC200-032C-884B-BF34-5326249207F7}" id="{4096B3DF-D807-0348-A284-D157F2C1F1B5}">
    <text>Calculate using goal seek: Set solar tax benefit to value of reducible taxes by changing equity contribution input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8" dT="2025-08-22T04:33:37.15" personId="{08CCC200-032C-884B-BF34-5326249207F7}" id="{B50DAE1C-0FF4-D844-BF75-EA43CA6BD006}">
    <text>Calculate using goal seek: Set solar tax benefit to value of reducible taxes by changing equity contribution input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9" dT="2025-08-22T04:33:37.15" personId="{08CCC200-032C-884B-BF34-5326249207F7}" id="{8D950640-9817-5B43-BFDE-001462755565}">
    <text>Calculate using goal seek: Set solar tax benefit to value of reducible taxes by changing equity contribution input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9" dT="2025-08-22T04:33:37.15" personId="{08CCC200-032C-884B-BF34-5326249207F7}" id="{FFEACF8E-B61F-AD4A-937C-1A91869F18EA}">
    <text>Calculate using goal seek: Set solar tax benefit to value of reducible taxes by changing equity contribution input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49" dT="2025-08-22T04:33:37.15" personId="{08CCC200-032C-884B-BF34-5326249207F7}" id="{2659AC44-F6B0-4443-8500-C0BE1610C6E9}">
    <text>Calculate using goal seek: Set solar tax benefit to value of reducible taxes by changing equity contribution input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7A30-218E-4412-BE22-A2EDD61927E1}">
  <dimension ref="B1:M60"/>
  <sheetViews>
    <sheetView tabSelected="1" zoomScale="150" zoomScaleNormal="150" workbookViewId="0">
      <selection activeCell="C6" sqref="C6"/>
    </sheetView>
  </sheetViews>
  <sheetFormatPr baseColWidth="10" defaultColWidth="8.83203125" defaultRowHeight="15" customHeight="1" x14ac:dyDescent="0.2"/>
  <cols>
    <col min="1" max="1" width="5.83203125" customWidth="1"/>
    <col min="2" max="2" width="21.83203125" bestFit="1" customWidth="1"/>
    <col min="3" max="3" width="20.5" customWidth="1"/>
    <col min="4" max="4" width="4.83203125" customWidth="1"/>
    <col min="5" max="5" width="22.33203125" bestFit="1" customWidth="1"/>
    <col min="6" max="6" width="11.1640625" bestFit="1" customWidth="1"/>
    <col min="7" max="7" width="13.33203125" bestFit="1" customWidth="1"/>
    <col min="8" max="8" width="16.83203125" hidden="1" customWidth="1"/>
    <col min="9" max="9" width="17.5" bestFit="1" customWidth="1"/>
    <col min="10" max="10" width="17.6640625" hidden="1" customWidth="1"/>
    <col min="11" max="11" width="21.83203125" bestFit="1" customWidth="1"/>
    <col min="12" max="12" width="22.1640625" customWidth="1"/>
    <col min="13" max="13" width="11.5" bestFit="1" customWidth="1"/>
    <col min="14" max="14" width="10.5" customWidth="1"/>
    <col min="15" max="18" width="13.5" customWidth="1"/>
    <col min="19" max="19" width="14.83203125" customWidth="1"/>
    <col min="20" max="20" width="13.5" customWidth="1"/>
    <col min="21" max="21" width="15.5" customWidth="1"/>
    <col min="22" max="22" width="15.6640625" bestFit="1" customWidth="1"/>
    <col min="24" max="24" width="17.1640625" customWidth="1"/>
    <col min="25" max="25" width="15.6640625" customWidth="1"/>
    <col min="26" max="26" width="17.6640625" customWidth="1"/>
  </cols>
  <sheetData>
    <row r="1" spans="2:12" ht="15" customHeight="1" thickBot="1" x14ac:dyDescent="0.25"/>
    <row r="2" spans="2:12" ht="15" customHeight="1" thickBot="1" x14ac:dyDescent="0.25">
      <c r="B2" s="409" t="s">
        <v>16</v>
      </c>
      <c r="C2" s="410"/>
      <c r="E2" s="406" t="s">
        <v>94</v>
      </c>
      <c r="F2" s="407"/>
      <c r="G2" s="407"/>
      <c r="H2" s="407"/>
      <c r="I2" s="407"/>
      <c r="J2" s="407"/>
      <c r="K2" s="407"/>
      <c r="L2" s="408"/>
    </row>
    <row r="3" spans="2:12" ht="15" customHeight="1" thickBot="1" x14ac:dyDescent="0.25">
      <c r="B3" s="411"/>
      <c r="C3" s="412"/>
      <c r="E3" s="272"/>
      <c r="F3" s="367" t="s">
        <v>8</v>
      </c>
      <c r="G3" s="328" t="s">
        <v>165</v>
      </c>
      <c r="H3" s="369" t="s">
        <v>82</v>
      </c>
      <c r="I3" s="329" t="s">
        <v>275</v>
      </c>
      <c r="J3" s="329" t="s">
        <v>116</v>
      </c>
      <c r="K3" s="330" t="s">
        <v>170</v>
      </c>
      <c r="L3" s="328" t="s">
        <v>173</v>
      </c>
    </row>
    <row r="4" spans="2:12" ht="15" customHeight="1" thickBot="1" x14ac:dyDescent="0.25">
      <c r="B4" s="355" t="s">
        <v>2</v>
      </c>
      <c r="C4" s="351" t="s">
        <v>274</v>
      </c>
      <c r="E4" s="252" t="s">
        <v>110</v>
      </c>
      <c r="F4" s="222">
        <f>'No planning'!C19</f>
        <v>81195.419999999984</v>
      </c>
      <c r="G4" s="360">
        <f>Film!C22</f>
        <v>11599.88</v>
      </c>
      <c r="H4" s="361">
        <f ca="1">MIN(Solar!C20, F4)</f>
        <v>0</v>
      </c>
      <c r="I4" s="251">
        <f>Charitable!C22</f>
        <v>33423.659999999996</v>
      </c>
      <c r="J4" s="361">
        <f ca="1">MIN('Solar &amp; Charitable'!C25,'Solar &amp; Charitable'!C58)</f>
        <v>0</v>
      </c>
      <c r="K4" s="362">
        <f>LEAP!C28</f>
        <v>113167.09999999998</v>
      </c>
      <c r="L4" s="224">
        <f>'LEAP &amp; Charitable'!C63</f>
        <v>33423.659999999996</v>
      </c>
    </row>
    <row r="5" spans="2:12" ht="15" customHeight="1" thickBot="1" x14ac:dyDescent="0.25">
      <c r="B5" s="246" t="s">
        <v>4</v>
      </c>
      <c r="C5" s="352">
        <v>400000</v>
      </c>
      <c r="E5" s="246" t="s">
        <v>111</v>
      </c>
      <c r="F5" s="357">
        <f>'No planning'!C20</f>
        <v>0</v>
      </c>
      <c r="G5" s="358">
        <f>Film!C24</f>
        <v>0</v>
      </c>
      <c r="H5" s="359">
        <f ca="1">MIN(MAX(Solar!C20 - H4, 0), F5)</f>
        <v>0</v>
      </c>
      <c r="I5" s="221">
        <f>Charitable!C24</f>
        <v>0</v>
      </c>
      <c r="J5" s="359">
        <f ca="1">MIN(MAX('Solar &amp; Charitable'!C58-'Strategy comparison'!J4,0),'Solar &amp; Charitable'!C27)</f>
        <v>0</v>
      </c>
      <c r="K5" s="357">
        <f>LEAP!J28</f>
        <v>0</v>
      </c>
      <c r="L5" s="221">
        <f>'LEAP &amp; Charitable'!C65</f>
        <v>0</v>
      </c>
    </row>
    <row r="6" spans="2:12" ht="15" customHeight="1" thickBot="1" x14ac:dyDescent="0.25">
      <c r="B6" s="246" t="s">
        <v>15</v>
      </c>
      <c r="C6" s="352"/>
      <c r="E6" s="179" t="s">
        <v>146</v>
      </c>
      <c r="F6" s="222">
        <f>'No planning'!I42</f>
        <v>12000</v>
      </c>
      <c r="G6" s="222">
        <f>Film!I42</f>
        <v>3024</v>
      </c>
      <c r="H6" s="223">
        <f ca="1">Solar!J42</f>
        <v>11058.167417709132</v>
      </c>
      <c r="I6" s="224">
        <f>Charitable!H42</f>
        <v>12000</v>
      </c>
      <c r="J6" s="224">
        <f ca="1">'Solar &amp; Charitable'!J42</f>
        <v>11017.890008964019</v>
      </c>
      <c r="K6" s="222">
        <f>LEAP!C29</f>
        <v>12000</v>
      </c>
      <c r="L6" s="224">
        <f>'LEAP &amp; Charitable'!C64</f>
        <v>12000</v>
      </c>
    </row>
    <row r="7" spans="2:12" ht="15" customHeight="1" thickBot="1" x14ac:dyDescent="0.25">
      <c r="B7" s="246" t="s">
        <v>16</v>
      </c>
      <c r="C7" s="352"/>
      <c r="E7" s="170" t="s">
        <v>9</v>
      </c>
      <c r="F7" s="218">
        <v>0</v>
      </c>
      <c r="G7" s="218">
        <f>Film!D14</f>
        <v>62989.473684210527</v>
      </c>
      <c r="H7" s="225">
        <f ca="1">Solar!C18</f>
        <v>70591.823576315132</v>
      </c>
      <c r="I7" s="226">
        <f>Charitable!D14</f>
        <v>40000</v>
      </c>
      <c r="J7" s="226">
        <f ca="1">'Solar &amp; Charitable'!D17+'Solar &amp; Charitable'!C49</f>
        <v>73022.319741698389</v>
      </c>
      <c r="K7" s="218">
        <f>LEAP!D14+LEAP!E14+LEAP!D12+LEAP!E12</f>
        <v>-17640</v>
      </c>
      <c r="L7" s="221">
        <f>'LEAP &amp; Charitable'!C78-L9</f>
        <v>40000</v>
      </c>
    </row>
    <row r="8" spans="2:12" ht="16" thickBot="1" x14ac:dyDescent="0.25">
      <c r="B8" s="246" t="s">
        <v>6</v>
      </c>
      <c r="C8" s="352"/>
      <c r="E8" s="179" t="s">
        <v>93</v>
      </c>
      <c r="F8" s="222">
        <v>0</v>
      </c>
      <c r="G8" s="222">
        <v>0</v>
      </c>
      <c r="H8" s="223">
        <v>0</v>
      </c>
      <c r="I8" s="224">
        <v>0</v>
      </c>
      <c r="J8" s="224">
        <v>0</v>
      </c>
      <c r="K8" s="222">
        <f>LEAP!D20+LEAP!E20</f>
        <v>-7560</v>
      </c>
      <c r="L8" s="224">
        <f>'LEAP &amp; Charitable'!C79</f>
        <v>0</v>
      </c>
    </row>
    <row r="9" spans="2:12" ht="16" thickBot="1" x14ac:dyDescent="0.25">
      <c r="B9" s="246" t="s">
        <v>96</v>
      </c>
      <c r="C9" s="352"/>
      <c r="E9" s="170" t="s">
        <v>199</v>
      </c>
      <c r="F9" s="218">
        <v>0</v>
      </c>
      <c r="G9" s="218">
        <f>Film!D16</f>
        <v>0</v>
      </c>
      <c r="H9" s="225">
        <f>C12</f>
        <v>0</v>
      </c>
      <c r="I9" s="226">
        <f>C12</f>
        <v>0</v>
      </c>
      <c r="J9" s="226">
        <f>C12</f>
        <v>0</v>
      </c>
      <c r="K9" s="218">
        <f>C12</f>
        <v>0</v>
      </c>
      <c r="L9" s="221">
        <f>C12</f>
        <v>0</v>
      </c>
    </row>
    <row r="10" spans="2:12" ht="15" customHeight="1" thickBot="1" x14ac:dyDescent="0.25">
      <c r="B10" s="246" t="s">
        <v>98</v>
      </c>
      <c r="C10" s="352"/>
      <c r="E10" s="179" t="s">
        <v>95</v>
      </c>
      <c r="F10" s="222">
        <f t="shared" ref="F10:L10" si="0">SUM(F4:F9)</f>
        <v>93195.419999999984</v>
      </c>
      <c r="G10" s="224">
        <f t="shared" si="0"/>
        <v>77613.353684210524</v>
      </c>
      <c r="H10" s="223">
        <f t="shared" ca="1" si="0"/>
        <v>81649.990994024265</v>
      </c>
      <c r="I10" s="224">
        <f t="shared" si="0"/>
        <v>85423.66</v>
      </c>
      <c r="J10" s="224">
        <f t="shared" ca="1" si="0"/>
        <v>84040.209750662412</v>
      </c>
      <c r="K10" s="222">
        <f>SUM(K4:K7)+K9</f>
        <v>107527.09999999998</v>
      </c>
      <c r="L10" s="224">
        <f t="shared" si="0"/>
        <v>85423.66</v>
      </c>
    </row>
    <row r="11" spans="2:12" ht="15" customHeight="1" thickBot="1" x14ac:dyDescent="0.25">
      <c r="B11" s="246" t="s">
        <v>97</v>
      </c>
      <c r="C11" s="354"/>
      <c r="E11" s="180" t="s">
        <v>12</v>
      </c>
      <c r="F11" s="219">
        <v>0</v>
      </c>
      <c r="G11" s="219">
        <f>$F10-G10</f>
        <v>15582.06631578946</v>
      </c>
      <c r="H11" s="256">
        <f ca="1">$F10-H10</f>
        <v>11545.429005975719</v>
      </c>
      <c r="I11" s="219">
        <f>$F10-I10</f>
        <v>7771.7599999999802</v>
      </c>
      <c r="J11" s="256">
        <f ca="1">$F10-J10</f>
        <v>9155.2102493375714</v>
      </c>
      <c r="K11" s="219">
        <f>$F10-K10</f>
        <v>-14331.679999999993</v>
      </c>
      <c r="L11" s="220">
        <f>F10-L10+L8</f>
        <v>7771.7599999999802</v>
      </c>
    </row>
    <row r="12" spans="2:12" ht="16" thickBot="1" x14ac:dyDescent="0.25">
      <c r="B12" s="356" t="s">
        <v>7</v>
      </c>
      <c r="C12" s="172"/>
      <c r="E12" s="171" t="s">
        <v>25</v>
      </c>
      <c r="F12" s="257">
        <f>($F$10-F11)/'No planning'!$C$15</f>
        <v>0.23298854999999996</v>
      </c>
      <c r="G12" s="257">
        <f>($F$10-G11)/'No planning'!$C$15</f>
        <v>0.19403338421052632</v>
      </c>
      <c r="H12" s="254">
        <f ca="1">($F$10-H11)/'No planning'!$C$15</f>
        <v>0.20412497748506067</v>
      </c>
      <c r="I12" s="257">
        <f>($F$10-I11)/'No planning'!$C$15</f>
        <v>0.21355915</v>
      </c>
      <c r="J12" s="254">
        <f ca="1">($F$10-J11)/'No planning'!$C$15</f>
        <v>0.21010052437665602</v>
      </c>
      <c r="K12" s="257">
        <f>K10/'No planning'!$C$15</f>
        <v>0.26881774999999997</v>
      </c>
      <c r="L12" s="255">
        <f>($F$10-L11)/'No planning'!$C$15</f>
        <v>0.21355915</v>
      </c>
    </row>
    <row r="13" spans="2:12" x14ac:dyDescent="0.2"/>
    <row r="14" spans="2:12" ht="16" thickBot="1" x14ac:dyDescent="0.25"/>
    <row r="15" spans="2:12" ht="16" thickBot="1" x14ac:dyDescent="0.25">
      <c r="G15" s="406" t="s">
        <v>226</v>
      </c>
      <c r="H15" s="407"/>
      <c r="I15" s="407"/>
      <c r="J15" s="407"/>
      <c r="K15" s="407"/>
      <c r="L15" s="408"/>
    </row>
    <row r="16" spans="2:12" ht="16" thickBot="1" x14ac:dyDescent="0.25">
      <c r="G16" s="328" t="s">
        <v>165</v>
      </c>
      <c r="H16" s="328" t="s">
        <v>82</v>
      </c>
      <c r="I16" s="329" t="s">
        <v>115</v>
      </c>
      <c r="J16" s="329" t="s">
        <v>116</v>
      </c>
      <c r="K16" s="330" t="s">
        <v>170</v>
      </c>
      <c r="L16" s="328" t="s">
        <v>173</v>
      </c>
    </row>
    <row r="17" spans="3:13" x14ac:dyDescent="0.2">
      <c r="G17" s="229" t="s">
        <v>168</v>
      </c>
      <c r="H17" s="229" t="s">
        <v>67</v>
      </c>
      <c r="I17" s="229" t="s">
        <v>130</v>
      </c>
      <c r="J17" s="229" t="s">
        <v>130</v>
      </c>
      <c r="K17" s="229" t="s">
        <v>142</v>
      </c>
      <c r="L17" s="134" t="s">
        <v>142</v>
      </c>
    </row>
    <row r="18" spans="3:13" ht="16" thickBot="1" x14ac:dyDescent="0.25">
      <c r="G18" s="350">
        <f>SUM(C5:C11)-100800</f>
        <v>299200</v>
      </c>
      <c r="H18" s="350"/>
      <c r="I18" s="350"/>
      <c r="J18" s="350"/>
      <c r="K18" s="350">
        <f>C6-100800</f>
        <v>-100800</v>
      </c>
      <c r="L18" s="370"/>
    </row>
    <row r="19" spans="3:13" x14ac:dyDescent="0.2">
      <c r="J19" s="229" t="s">
        <v>67</v>
      </c>
      <c r="K19" s="229" t="s">
        <v>131</v>
      </c>
      <c r="L19" s="134" t="s">
        <v>131</v>
      </c>
    </row>
    <row r="20" spans="3:13" ht="16" thickBot="1" x14ac:dyDescent="0.25">
      <c r="J20" s="364"/>
      <c r="K20" s="364"/>
      <c r="L20" s="371"/>
    </row>
    <row r="21" spans="3:13" x14ac:dyDescent="0.2">
      <c r="L21" s="229" t="s">
        <v>130</v>
      </c>
      <c r="M21" s="338"/>
    </row>
    <row r="22" spans="3:13" ht="16" thickBot="1" x14ac:dyDescent="0.25">
      <c r="L22" s="364"/>
    </row>
    <row r="23" spans="3:13" x14ac:dyDescent="0.2">
      <c r="M23" s="247"/>
    </row>
    <row r="24" spans="3:13" ht="16" customHeight="1" x14ac:dyDescent="0.2"/>
    <row r="25" spans="3:13" x14ac:dyDescent="0.2">
      <c r="C25" s="18"/>
      <c r="M25" s="247"/>
    </row>
    <row r="26" spans="3:13" x14ac:dyDescent="0.2">
      <c r="C26" s="215"/>
    </row>
    <row r="27" spans="3:13" x14ac:dyDescent="0.2">
      <c r="C27" s="88"/>
    </row>
    <row r="28" spans="3:13" x14ac:dyDescent="0.2">
      <c r="C28" s="6"/>
    </row>
    <row r="29" spans="3:13" x14ac:dyDescent="0.2"/>
    <row r="30" spans="3:13" x14ac:dyDescent="0.2"/>
    <row r="31" spans="3:13" x14ac:dyDescent="0.2"/>
    <row r="32" spans="3:13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5" x14ac:dyDescent="0.2"/>
    <row r="56" x14ac:dyDescent="0.2"/>
    <row r="57" x14ac:dyDescent="0.2"/>
    <row r="58" x14ac:dyDescent="0.2"/>
    <row r="59" x14ac:dyDescent="0.2"/>
    <row r="60" x14ac:dyDescent="0.2"/>
  </sheetData>
  <mergeCells count="3">
    <mergeCell ref="E2:L2"/>
    <mergeCell ref="G15:L15"/>
    <mergeCell ref="B2:C3"/>
  </mergeCells>
  <conditionalFormatting sqref="F11:L11">
    <cfRule type="colorScale" priority="27">
      <colorScale>
        <cfvo type="min"/>
        <cfvo type="max"/>
        <color rgb="FFFCFCFF"/>
        <color rgb="FF63BE7B"/>
      </colorScale>
    </cfRule>
  </conditionalFormatting>
  <conditionalFormatting sqref="F12:L12">
    <cfRule type="colorScale" priority="31">
      <colorScale>
        <cfvo type="min"/>
        <cfvo type="max"/>
        <color rgb="FF63BE7B"/>
        <color rgb="FFFCFCFF"/>
      </colorScale>
    </cfRule>
  </conditionalFormatting>
  <dataValidations count="1">
    <dataValidation type="list" allowBlank="1" showInputMessage="1" showErrorMessage="1" sqref="C4" xr:uid="{88096D37-BEA1-44FB-A993-D47D7F70D0A5}">
      <formula1>"Single, Married-Joint"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EDF0-295E-064C-B38C-9E158D769B49}">
  <dimension ref="B1:L44"/>
  <sheetViews>
    <sheetView workbookViewId="0">
      <selection activeCell="C34" sqref="C34"/>
    </sheetView>
  </sheetViews>
  <sheetFormatPr baseColWidth="10" defaultColWidth="11.5" defaultRowHeight="15" x14ac:dyDescent="0.2"/>
  <cols>
    <col min="2" max="2" width="19.33203125" customWidth="1"/>
    <col min="3" max="3" width="15.83203125" customWidth="1"/>
    <col min="5" max="5" width="20.1640625" bestFit="1" customWidth="1"/>
    <col min="6" max="8" width="11.5" bestFit="1" customWidth="1"/>
    <col min="9" max="9" width="14.33203125" bestFit="1" customWidth="1"/>
    <col min="10" max="10" width="20.33203125" bestFit="1" customWidth="1"/>
    <col min="11" max="11" width="11.5" bestFit="1" customWidth="1"/>
    <col min="12" max="12" width="21.83203125" customWidth="1"/>
  </cols>
  <sheetData>
    <row r="1" spans="2:12" ht="16" thickBot="1" x14ac:dyDescent="0.25"/>
    <row r="2" spans="2:12" ht="16" thickBot="1" x14ac:dyDescent="0.25">
      <c r="B2" s="366" t="s">
        <v>132</v>
      </c>
      <c r="C2" s="353"/>
      <c r="G2" s="406" t="s">
        <v>226</v>
      </c>
      <c r="H2" s="407"/>
      <c r="I2" s="407"/>
      <c r="J2" s="407"/>
      <c r="K2" s="407"/>
      <c r="L2" s="408"/>
    </row>
    <row r="3" spans="2:12" ht="16" thickBot="1" x14ac:dyDescent="0.25">
      <c r="G3" s="328" t="s">
        <v>169</v>
      </c>
      <c r="H3" s="328" t="s">
        <v>147</v>
      </c>
      <c r="I3" s="329" t="s">
        <v>148</v>
      </c>
      <c r="J3" s="329" t="s">
        <v>149</v>
      </c>
      <c r="K3" s="331" t="s">
        <v>171</v>
      </c>
      <c r="L3" s="328" t="s">
        <v>172</v>
      </c>
    </row>
    <row r="4" spans="2:12" x14ac:dyDescent="0.2">
      <c r="G4" s="229" t="s">
        <v>168</v>
      </c>
      <c r="H4" s="229" t="s">
        <v>67</v>
      </c>
      <c r="I4" s="229" t="s">
        <v>130</v>
      </c>
      <c r="J4" s="229" t="s">
        <v>130</v>
      </c>
      <c r="K4" s="229" t="s">
        <v>142</v>
      </c>
      <c r="L4" s="134" t="s">
        <v>142</v>
      </c>
    </row>
    <row r="5" spans="2:12" ht="16" thickBot="1" x14ac:dyDescent="0.25">
      <c r="G5" s="350"/>
      <c r="H5" s="350"/>
      <c r="I5" s="350"/>
      <c r="J5" s="350"/>
      <c r="K5" s="350"/>
      <c r="L5" s="370"/>
    </row>
    <row r="6" spans="2:12" x14ac:dyDescent="0.2">
      <c r="J6" s="229" t="s">
        <v>67</v>
      </c>
      <c r="K6" s="229" t="s">
        <v>131</v>
      </c>
      <c r="L6" s="134" t="s">
        <v>131</v>
      </c>
    </row>
    <row r="7" spans="2:12" ht="16" thickBot="1" x14ac:dyDescent="0.25">
      <c r="J7" s="364"/>
      <c r="K7" s="364"/>
      <c r="L7" s="371"/>
    </row>
    <row r="8" spans="2:12" x14ac:dyDescent="0.2">
      <c r="L8" s="229" t="s">
        <v>130</v>
      </c>
    </row>
    <row r="9" spans="2:12" ht="16" thickBot="1" x14ac:dyDescent="0.25">
      <c r="L9" s="364"/>
    </row>
    <row r="10" spans="2:12" ht="16" thickBot="1" x14ac:dyDescent="0.25"/>
    <row r="11" spans="2:12" ht="16" thickBot="1" x14ac:dyDescent="0.25">
      <c r="E11" s="406" t="s">
        <v>233</v>
      </c>
      <c r="F11" s="407"/>
      <c r="G11" s="407"/>
      <c r="H11" s="407"/>
      <c r="I11" s="407"/>
      <c r="J11" s="407"/>
      <c r="K11" s="407"/>
      <c r="L11" s="408"/>
    </row>
    <row r="12" spans="2:12" ht="16" thickBot="1" x14ac:dyDescent="0.25">
      <c r="E12" s="272"/>
      <c r="F12" s="367" t="s">
        <v>8</v>
      </c>
      <c r="G12" s="328" t="s">
        <v>165</v>
      </c>
      <c r="H12" s="369" t="s">
        <v>82</v>
      </c>
      <c r="I12" s="329" t="s">
        <v>115</v>
      </c>
      <c r="J12" s="329" t="s">
        <v>116</v>
      </c>
      <c r="K12" s="330" t="s">
        <v>170</v>
      </c>
      <c r="L12" s="328" t="s">
        <v>173</v>
      </c>
    </row>
    <row r="13" spans="2:12" x14ac:dyDescent="0.2">
      <c r="E13" s="252" t="s">
        <v>110</v>
      </c>
      <c r="F13" s="222">
        <f>'No planning'!C19</f>
        <v>81195.419999999984</v>
      </c>
      <c r="G13" s="360">
        <f>Film!C22</f>
        <v>11599.88</v>
      </c>
      <c r="H13" s="361">
        <f ca="1">MIN(Solar!C20, F13)</f>
        <v>0</v>
      </c>
      <c r="I13" s="251">
        <f>Charitable!C22</f>
        <v>33423.659999999996</v>
      </c>
      <c r="J13" s="361">
        <f ca="1">MIN('Solar &amp; Charitable'!C25,'Solar &amp; Charitable'!C58)</f>
        <v>0</v>
      </c>
      <c r="K13" s="362">
        <f>LEAP!C28</f>
        <v>113167.09999999998</v>
      </c>
      <c r="L13" s="224">
        <f>'LEAP &amp; Charitable'!C63</f>
        <v>33423.659999999996</v>
      </c>
    </row>
    <row r="14" spans="2:12" x14ac:dyDescent="0.2">
      <c r="E14" s="246" t="s">
        <v>111</v>
      </c>
      <c r="F14" s="357">
        <f>'No planning'!C20</f>
        <v>0</v>
      </c>
      <c r="G14" s="358">
        <f>Film!C24</f>
        <v>0</v>
      </c>
      <c r="H14" s="359">
        <f ca="1">MIN(MAX(Solar!C20 - H13, 0), F14)</f>
        <v>0</v>
      </c>
      <c r="I14" s="221">
        <f>Charitable!C24</f>
        <v>0</v>
      </c>
      <c r="J14" s="359">
        <f ca="1">MIN(MAX('Solar &amp; Charitable'!C58-'Strategy comparison'!J4,0),'Solar &amp; Charitable'!C27)</f>
        <v>0</v>
      </c>
      <c r="K14" s="357">
        <f>LEAP!J28</f>
        <v>0</v>
      </c>
      <c r="L14" s="221">
        <f>'LEAP &amp; Charitable'!C65</f>
        <v>0</v>
      </c>
    </row>
    <row r="15" spans="2:12" x14ac:dyDescent="0.2">
      <c r="E15" s="179" t="s">
        <v>146</v>
      </c>
      <c r="F15" s="222">
        <f>'No planning'!I42</f>
        <v>12000</v>
      </c>
      <c r="G15" s="222">
        <f>Film!I42</f>
        <v>3024</v>
      </c>
      <c r="H15" s="223">
        <f ca="1">Solar!J42</f>
        <v>11059.731535269131</v>
      </c>
      <c r="I15" s="224">
        <f>Charitable!H42</f>
        <v>12000</v>
      </c>
      <c r="J15" s="224">
        <f ca="1">'Solar &amp; Charitable'!J42</f>
        <v>11017.770299204019</v>
      </c>
      <c r="K15" s="222">
        <f>LEAP!C29</f>
        <v>12000</v>
      </c>
      <c r="L15" s="224">
        <f>'LEAP &amp; Charitable'!C64</f>
        <v>12000</v>
      </c>
    </row>
    <row r="16" spans="2:12" x14ac:dyDescent="0.2">
      <c r="E16" s="170" t="s">
        <v>9</v>
      </c>
      <c r="F16" s="218">
        <v>0</v>
      </c>
      <c r="G16" s="218">
        <f>Film!D14</f>
        <v>62989.473684210527</v>
      </c>
      <c r="H16" s="225">
        <f ca="1">Solar!C18</f>
        <v>70583.134034315139</v>
      </c>
      <c r="I16" s="226">
        <f>Charitable!D14</f>
        <v>40000</v>
      </c>
      <c r="J16" s="226">
        <f ca="1">'Solar &amp; Charitable'!D17+'Solar &amp; Charitable'!C49</f>
        <v>73013.341509698395</v>
      </c>
      <c r="K16" s="218">
        <f>LEAP!D14+LEAP!E14+LEAP!D12+LEAP!E12</f>
        <v>-17640</v>
      </c>
      <c r="L16" s="221">
        <f>'LEAP &amp; Charitable'!C78-L18</f>
        <v>40000</v>
      </c>
    </row>
    <row r="17" spans="5:12" x14ac:dyDescent="0.2">
      <c r="E17" s="179" t="s">
        <v>93</v>
      </c>
      <c r="F17" s="222">
        <v>0</v>
      </c>
      <c r="G17" s="222">
        <v>0</v>
      </c>
      <c r="H17" s="223">
        <v>0</v>
      </c>
      <c r="I17" s="224">
        <v>0</v>
      </c>
      <c r="J17" s="224">
        <v>0</v>
      </c>
      <c r="K17" s="222">
        <f>LEAP!D20+LEAP!E20</f>
        <v>-7560</v>
      </c>
      <c r="L17" s="224">
        <f>'LEAP &amp; Charitable'!C79</f>
        <v>0</v>
      </c>
    </row>
    <row r="18" spans="5:12" x14ac:dyDescent="0.2">
      <c r="E18" s="170" t="s">
        <v>199</v>
      </c>
      <c r="F18" s="218">
        <v>0</v>
      </c>
      <c r="G18" s="218">
        <f>'Strategy comparison'!$C$12</f>
        <v>0</v>
      </c>
      <c r="H18" s="218">
        <f>'Strategy comparison'!$C$12</f>
        <v>0</v>
      </c>
      <c r="I18" s="218">
        <f>'Strategy comparison'!$C$12</f>
        <v>0</v>
      </c>
      <c r="J18" s="218">
        <f>'Strategy comparison'!$C$12</f>
        <v>0</v>
      </c>
      <c r="K18" s="218">
        <f>'Strategy comparison'!$C$12</f>
        <v>0</v>
      </c>
      <c r="L18" s="218">
        <f>'Strategy comparison'!$C$12</f>
        <v>0</v>
      </c>
    </row>
    <row r="19" spans="5:12" ht="16" thickBot="1" x14ac:dyDescent="0.25">
      <c r="E19" s="179" t="s">
        <v>95</v>
      </c>
      <c r="F19" s="222">
        <f t="shared" ref="F19:L19" si="0">SUM(F13:F18)</f>
        <v>93195.419999999984</v>
      </c>
      <c r="G19" s="224">
        <f t="shared" si="0"/>
        <v>77613.353684210524</v>
      </c>
      <c r="H19" s="223">
        <f t="shared" ca="1" si="0"/>
        <v>81642.865569584275</v>
      </c>
      <c r="I19" s="224">
        <f t="shared" si="0"/>
        <v>85423.66</v>
      </c>
      <c r="J19" s="224">
        <f t="shared" ca="1" si="0"/>
        <v>84031.111808902409</v>
      </c>
      <c r="K19" s="222">
        <f t="shared" si="0"/>
        <v>99967.099999999977</v>
      </c>
      <c r="L19" s="224">
        <f t="shared" si="0"/>
        <v>85423.66</v>
      </c>
    </row>
    <row r="20" spans="5:12" x14ac:dyDescent="0.2">
      <c r="E20" s="180" t="s">
        <v>12</v>
      </c>
      <c r="F20" s="219">
        <v>0</v>
      </c>
      <c r="G20" s="219">
        <f>$F19-G19</f>
        <v>15582.06631578946</v>
      </c>
      <c r="H20" s="256">
        <f ca="1">$F19-H19</f>
        <v>11552.554430415708</v>
      </c>
      <c r="I20" s="219">
        <f>$F19-I19</f>
        <v>7771.7599999999802</v>
      </c>
      <c r="J20" s="256">
        <f ca="1">$F19-J19</f>
        <v>9164.3081910975743</v>
      </c>
      <c r="K20" s="219">
        <f>$F19-K19+K17</f>
        <v>-14331.679999999993</v>
      </c>
      <c r="L20" s="220">
        <f>F19-L19+L17</f>
        <v>7771.7599999999802</v>
      </c>
    </row>
    <row r="21" spans="5:12" ht="16" thickBot="1" x14ac:dyDescent="0.25">
      <c r="E21" s="171" t="s">
        <v>25</v>
      </c>
      <c r="F21" s="257">
        <f>($F$19-F20)/'No planning'!$C$15</f>
        <v>0.23298854999999996</v>
      </c>
      <c r="G21" s="257">
        <f>($F$19-G20)/'No planning'!$C$15</f>
        <v>0.19403338421052632</v>
      </c>
      <c r="H21" s="254">
        <f ca="1">($F$19-H20)/'No planning'!$C$15</f>
        <v>0.20410716392396069</v>
      </c>
      <c r="I21" s="257">
        <f>($F$19-I20)/'No planning'!$C$15</f>
        <v>0.21355915</v>
      </c>
      <c r="J21" s="254">
        <f ca="1">($F$19-J20)/'No planning'!$C$15</f>
        <v>0.21007777952225604</v>
      </c>
      <c r="K21" s="257">
        <f>($F$19-K20)/'No planning'!$C$15</f>
        <v>0.26881774999999997</v>
      </c>
      <c r="L21" s="255">
        <f>($F$19-L20)/'No planning'!$C$15</f>
        <v>0.21355915</v>
      </c>
    </row>
    <row r="22" spans="5:12" ht="16" thickBot="1" x14ac:dyDescent="0.25"/>
    <row r="23" spans="5:12" ht="16" thickBot="1" x14ac:dyDescent="0.25">
      <c r="E23" s="406" t="s">
        <v>132</v>
      </c>
      <c r="F23" s="407"/>
      <c r="G23" s="407"/>
      <c r="H23" s="407"/>
      <c r="I23" s="407"/>
      <c r="J23" s="407"/>
      <c r="K23" s="407"/>
      <c r="L23" s="408"/>
    </row>
    <row r="24" spans="5:12" ht="16" thickBot="1" x14ac:dyDescent="0.25">
      <c r="E24" s="272"/>
      <c r="F24" s="367" t="s">
        <v>143</v>
      </c>
      <c r="G24" s="331" t="s">
        <v>169</v>
      </c>
      <c r="H24" s="368" t="s">
        <v>147</v>
      </c>
      <c r="I24" s="328" t="s">
        <v>148</v>
      </c>
      <c r="J24" s="328" t="s">
        <v>149</v>
      </c>
      <c r="K24" s="328" t="s">
        <v>171</v>
      </c>
      <c r="L24" s="324" t="s">
        <v>172</v>
      </c>
    </row>
    <row r="25" spans="5:12" x14ac:dyDescent="0.2">
      <c r="E25" s="355" t="s">
        <v>132</v>
      </c>
      <c r="F25" s="247">
        <f>'DB comparison'!$C$2</f>
        <v>0</v>
      </c>
      <c r="G25" s="389">
        <f>'DB comparison'!$C$2</f>
        <v>0</v>
      </c>
      <c r="H25" s="389">
        <f>'DB comparison'!$C$2</f>
        <v>0</v>
      </c>
      <c r="I25" s="247">
        <f>'DB comparison'!$C$2</f>
        <v>0</v>
      </c>
      <c r="J25" s="389">
        <f>'DB comparison'!$C$2</f>
        <v>0</v>
      </c>
      <c r="K25" s="221">
        <f>'DB comparison'!$C$2</f>
        <v>0</v>
      </c>
      <c r="L25" s="389">
        <f>'DB comparison'!$C$2</f>
        <v>0</v>
      </c>
    </row>
    <row r="26" spans="5:12" x14ac:dyDescent="0.2">
      <c r="E26" s="179" t="s">
        <v>110</v>
      </c>
      <c r="F26" s="249">
        <f>'DB Only'!C14</f>
        <v>81195.419999999984</v>
      </c>
      <c r="G26" s="285">
        <f>'Film &amp; DB'!C22</f>
        <v>0</v>
      </c>
      <c r="H26" s="285">
        <f ca="1">MIN('Solar &amp; DB'!C20, F26)</f>
        <v>0</v>
      </c>
      <c r="I26" s="249">
        <f>'Charitable &amp; DB'!C22</f>
        <v>33423.659999999996</v>
      </c>
      <c r="J26" s="285">
        <f ca="1">MIN('Solar &amp; Charitable &amp; DB'!C25,'Solar &amp; Charitable &amp; DB'!C58)</f>
        <v>0</v>
      </c>
      <c r="K26" s="224">
        <f>'LEAP &amp; DB'!C28</f>
        <v>81195.419999999984</v>
      </c>
      <c r="L26" s="224">
        <f>'LEAP &amp; Charitable &amp; DB'!C63</f>
        <v>33423.659999999996</v>
      </c>
    </row>
    <row r="27" spans="5:12" x14ac:dyDescent="0.2">
      <c r="E27" s="246" t="s">
        <v>111</v>
      </c>
      <c r="F27" s="247">
        <f>'DB Only'!C15</f>
        <v>0</v>
      </c>
      <c r="G27" s="359">
        <f>'Film &amp; DB'!C24</f>
        <v>0</v>
      </c>
      <c r="H27" s="359">
        <f ca="1">MIN(MAX('Solar &amp; DB'!C20 - H26, 0), F27)</f>
        <v>0</v>
      </c>
      <c r="I27" s="247">
        <f>'Charitable &amp; DB'!C24</f>
        <v>0</v>
      </c>
      <c r="J27" s="359">
        <f ca="1">MIN(MAX('Solar &amp; Charitable &amp; DB'!C58-'DB comparison'!J26,0),'Solar &amp; Charitable &amp; DB'!C27)</f>
        <v>0</v>
      </c>
      <c r="K27" s="221">
        <f>'LEAP &amp; DB'!C30</f>
        <v>0</v>
      </c>
      <c r="L27" s="221">
        <f>'LEAP &amp; Charitable &amp; DB'!C65</f>
        <v>0</v>
      </c>
    </row>
    <row r="28" spans="5:12" x14ac:dyDescent="0.2">
      <c r="E28" s="179" t="s">
        <v>146</v>
      </c>
      <c r="F28" s="249">
        <f>'DB Only'!C16</f>
        <v>12000</v>
      </c>
      <c r="G28" s="224">
        <f>'Film &amp; DB'!C23</f>
        <v>0</v>
      </c>
      <c r="H28" s="224">
        <f ca="1">'Solar &amp; DB'!J42</f>
        <v>11059.731535269131</v>
      </c>
      <c r="I28" s="249">
        <f>'Charitable &amp; DB'!C23</f>
        <v>12000</v>
      </c>
      <c r="J28" s="224">
        <f ca="1">'Solar &amp; Charitable &amp; DB'!J42</f>
        <v>11017.79598109765</v>
      </c>
      <c r="K28" s="224">
        <f>'LEAP &amp; DB'!J42</f>
        <v>12000</v>
      </c>
      <c r="L28" s="224">
        <f>'LEAP &amp; Charitable &amp; DB'!C64</f>
        <v>12000</v>
      </c>
    </row>
    <row r="29" spans="5:12" x14ac:dyDescent="0.2">
      <c r="E29" s="170" t="s">
        <v>9</v>
      </c>
      <c r="F29" s="248">
        <v>0</v>
      </c>
      <c r="G29" s="226">
        <f>'Film &amp; DB'!D14</f>
        <v>84210.526315789481</v>
      </c>
      <c r="H29" s="226">
        <f ca="1">'Solar &amp; DB'!C18</f>
        <v>70583.134034315139</v>
      </c>
      <c r="I29" s="248">
        <f>'Charitable &amp; DB'!D14</f>
        <v>40000</v>
      </c>
      <c r="J29" s="226">
        <f ca="1">'Solar &amp; Charitable &amp; DB'!D17+'Solar &amp; Charitable &amp; DB'!C49</f>
        <v>73029.371831676137</v>
      </c>
      <c r="K29" s="226">
        <f>'LEAP &amp; DB'!D14+'LEAP &amp; DB'!E14+'LEAP &amp; DB'!D12+'LEAP &amp; DB'!E12</f>
        <v>0</v>
      </c>
      <c r="L29" s="226">
        <f>'LEAP &amp; Charitable &amp; DB'!C78-L31</f>
        <v>40000</v>
      </c>
    </row>
    <row r="30" spans="5:12" x14ac:dyDescent="0.2">
      <c r="E30" s="179" t="s">
        <v>93</v>
      </c>
      <c r="F30" s="249">
        <v>0</v>
      </c>
      <c r="G30" s="224">
        <v>0</v>
      </c>
      <c r="H30" s="224">
        <v>0</v>
      </c>
      <c r="I30" s="249">
        <v>0</v>
      </c>
      <c r="J30" s="224">
        <v>0</v>
      </c>
      <c r="K30" s="224">
        <f>'LEAP &amp; DB'!D20+'LEAP &amp; DB'!E20</f>
        <v>0</v>
      </c>
      <c r="L30" s="224">
        <f>'LEAP &amp; Charitable &amp; DB'!C79</f>
        <v>0</v>
      </c>
    </row>
    <row r="31" spans="5:12" x14ac:dyDescent="0.2">
      <c r="E31" s="246" t="s">
        <v>10</v>
      </c>
      <c r="F31" s="247">
        <f>'Strategy comparison'!$C$12</f>
        <v>0</v>
      </c>
      <c r="G31" s="221">
        <f>'Strategy comparison'!$C$12</f>
        <v>0</v>
      </c>
      <c r="H31" s="221">
        <f>'Strategy comparison'!$C$12</f>
        <v>0</v>
      </c>
      <c r="I31" s="247">
        <f>'Strategy comparison'!$C$12</f>
        <v>0</v>
      </c>
      <c r="J31" s="221">
        <f>'Strategy comparison'!$C$12</f>
        <v>0</v>
      </c>
      <c r="K31" s="221">
        <f>'Strategy comparison'!$C$12</f>
        <v>0</v>
      </c>
      <c r="L31" s="221">
        <f>'Strategy comparison'!$C$12</f>
        <v>0</v>
      </c>
    </row>
    <row r="32" spans="5:12" ht="16" thickBot="1" x14ac:dyDescent="0.25">
      <c r="E32" s="253" t="s">
        <v>95</v>
      </c>
      <c r="F32" s="249">
        <f t="shared" ref="F32:L32" si="1">SUM(F25:F31)</f>
        <v>93195.419999999984</v>
      </c>
      <c r="G32" s="250">
        <f t="shared" si="1"/>
        <v>84210.526315789481</v>
      </c>
      <c r="H32" s="250">
        <f t="shared" ca="1" si="1"/>
        <v>81642.865569584275</v>
      </c>
      <c r="I32" s="250">
        <f t="shared" si="1"/>
        <v>85423.66</v>
      </c>
      <c r="J32" s="250">
        <f t="shared" ca="1" si="1"/>
        <v>84047.167812773783</v>
      </c>
      <c r="K32" s="250">
        <f t="shared" si="1"/>
        <v>93195.419999999984</v>
      </c>
      <c r="L32" s="250">
        <f t="shared" si="1"/>
        <v>85423.66</v>
      </c>
    </row>
    <row r="33" spans="5:12" x14ac:dyDescent="0.2">
      <c r="E33" s="180" t="s">
        <v>12</v>
      </c>
      <c r="F33" s="318">
        <f>'Strategy comparison'!$F$10-F32+F25+F30</f>
        <v>0</v>
      </c>
      <c r="G33" s="389">
        <f>'Strategy comparison'!$F$10-G32+G25+G30</f>
        <v>8984.8936842105031</v>
      </c>
      <c r="H33" s="244">
        <f ca="1">'Strategy comparison'!$F$10-H32+H25+H30</f>
        <v>11552.554430415708</v>
      </c>
      <c r="I33" s="244">
        <f>'Strategy comparison'!$F$10-I32+I25+I30</f>
        <v>7771.7599999999802</v>
      </c>
      <c r="J33" s="244">
        <f ca="1">'Strategy comparison'!$F$10-J32+J25+J30</f>
        <v>9148.2521872262005</v>
      </c>
      <c r="K33" s="244">
        <f>'Strategy comparison'!$F$10-K32+K25+K30</f>
        <v>0</v>
      </c>
      <c r="L33" s="244">
        <f>'Strategy comparison'!$F$10-L32+L25+L30</f>
        <v>7771.7599999999802</v>
      </c>
    </row>
    <row r="34" spans="5:12" ht="16" thickBot="1" x14ac:dyDescent="0.25">
      <c r="E34" s="171" t="s">
        <v>25</v>
      </c>
      <c r="F34" s="319">
        <f>('Strategy comparison'!$F$10-F33)/'No planning'!$C$15</f>
        <v>0.23298854999999996</v>
      </c>
      <c r="G34" s="390">
        <f>('Strategy comparison'!$F$10-G33)/'No planning'!$C$15</f>
        <v>0.2105263157894737</v>
      </c>
      <c r="H34" s="245">
        <f ca="1">('Strategy comparison'!$F$10-H33)/'No planning'!$C$15</f>
        <v>0.20410716392396069</v>
      </c>
      <c r="I34" s="245">
        <f>('Strategy comparison'!$F$10-I33)/'No planning'!$C$15</f>
        <v>0.21355915</v>
      </c>
      <c r="J34" s="245">
        <f ca="1">('Strategy comparison'!$F$10-J33)/'No planning'!$C$15</f>
        <v>0.21011791953193446</v>
      </c>
      <c r="K34" s="245">
        <f>('Strategy comparison'!$F$10-K33)/'No planning'!$C$15</f>
        <v>0.23298854999999996</v>
      </c>
      <c r="L34" s="245">
        <f>('Strategy comparison'!$F$10-L33)/'No planning'!$C$15</f>
        <v>0.21355915</v>
      </c>
    </row>
    <row r="35" spans="5:12" ht="16" thickBot="1" x14ac:dyDescent="0.25"/>
    <row r="36" spans="5:12" ht="16" thickBot="1" x14ac:dyDescent="0.25">
      <c r="E36" s="347" t="s">
        <v>151</v>
      </c>
      <c r="F36" s="348"/>
      <c r="G36" s="348"/>
      <c r="H36" s="348"/>
      <c r="I36" s="348"/>
      <c r="J36" s="348"/>
      <c r="K36" s="348"/>
      <c r="L36" s="349"/>
    </row>
    <row r="37" spans="5:12" x14ac:dyDescent="0.2">
      <c r="E37" s="259"/>
      <c r="F37" s="260" t="s">
        <v>152</v>
      </c>
      <c r="G37" s="260" t="s">
        <v>165</v>
      </c>
      <c r="H37" s="260" t="s">
        <v>82</v>
      </c>
      <c r="I37" s="260" t="s">
        <v>115</v>
      </c>
      <c r="J37" s="260" t="s">
        <v>116</v>
      </c>
      <c r="K37" s="332" t="s">
        <v>170</v>
      </c>
      <c r="L37" s="333" t="s">
        <v>173</v>
      </c>
    </row>
    <row r="38" spans="5:12" x14ac:dyDescent="0.2">
      <c r="E38" s="261" t="s">
        <v>153</v>
      </c>
      <c r="F38" s="258">
        <f>'Strategy comparison'!F11</f>
        <v>0</v>
      </c>
      <c r="G38" s="258">
        <f>'Strategy comparison'!G11</f>
        <v>15582.06631578946</v>
      </c>
      <c r="H38" s="258">
        <f ca="1">'Strategy comparison'!H11</f>
        <v>11552.554430415708</v>
      </c>
      <c r="I38" s="258">
        <f>'Strategy comparison'!I11</f>
        <v>7771.7599999999802</v>
      </c>
      <c r="J38" s="258">
        <f ca="1">'Strategy comparison'!J11</f>
        <v>9164.3081910975743</v>
      </c>
      <c r="K38" s="258">
        <f>'Strategy comparison'!K11</f>
        <v>-14331.679999999993</v>
      </c>
      <c r="L38" s="321">
        <f>'Strategy comparison'!L11</f>
        <v>7771.7599999999802</v>
      </c>
    </row>
    <row r="39" spans="5:12" ht="16" thickBot="1" x14ac:dyDescent="0.25">
      <c r="E39" s="262" t="s">
        <v>133</v>
      </c>
      <c r="F39" s="263">
        <f>'DB comparison'!F33</f>
        <v>0</v>
      </c>
      <c r="G39" s="263">
        <f>'DB comparison'!G33</f>
        <v>8984.8936842105031</v>
      </c>
      <c r="H39" s="263">
        <f ca="1">'DB comparison'!H33</f>
        <v>11552.554430415708</v>
      </c>
      <c r="I39" s="263">
        <f>'DB comparison'!I33</f>
        <v>7771.7599999999802</v>
      </c>
      <c r="J39" s="263">
        <f ca="1">'DB comparison'!J33</f>
        <v>9148.2521872262005</v>
      </c>
      <c r="K39" s="263">
        <f>'DB comparison'!K33</f>
        <v>0</v>
      </c>
      <c r="L39" s="264">
        <f>'DB comparison'!L33</f>
        <v>7771.7599999999802</v>
      </c>
    </row>
    <row r="40" spans="5:12" ht="16" thickBot="1" x14ac:dyDescent="0.25"/>
    <row r="41" spans="5:12" ht="16" thickBot="1" x14ac:dyDescent="0.25">
      <c r="E41" s="347" t="s">
        <v>25</v>
      </c>
      <c r="F41" s="348"/>
      <c r="G41" s="348"/>
      <c r="H41" s="348"/>
      <c r="I41" s="348"/>
      <c r="J41" s="348"/>
      <c r="K41" s="348"/>
      <c r="L41" s="349"/>
    </row>
    <row r="42" spans="5:12" x14ac:dyDescent="0.2">
      <c r="E42" s="259"/>
      <c r="F42" s="260" t="s">
        <v>152</v>
      </c>
      <c r="G42" s="260" t="s">
        <v>165</v>
      </c>
      <c r="H42" s="260" t="s">
        <v>82</v>
      </c>
      <c r="I42" s="260" t="s">
        <v>115</v>
      </c>
      <c r="J42" s="260" t="s">
        <v>116</v>
      </c>
      <c r="K42" s="332" t="s">
        <v>170</v>
      </c>
      <c r="L42" s="333" t="s">
        <v>173</v>
      </c>
    </row>
    <row r="43" spans="5:12" x14ac:dyDescent="0.2">
      <c r="E43" s="261" t="s">
        <v>153</v>
      </c>
      <c r="F43" s="265">
        <f>'Strategy comparison'!F12</f>
        <v>0.23298854999999996</v>
      </c>
      <c r="G43" s="265">
        <f>'Strategy comparison'!G12</f>
        <v>0.19403338421052632</v>
      </c>
      <c r="H43" s="265">
        <f ca="1">'Strategy comparison'!H12</f>
        <v>0.20410716392396069</v>
      </c>
      <c r="I43" s="265">
        <f>'Strategy comparison'!I12</f>
        <v>0.21355915</v>
      </c>
      <c r="J43" s="265">
        <f ca="1">'Strategy comparison'!J12</f>
        <v>0.21007777952225604</v>
      </c>
      <c r="K43" s="265">
        <f>'Strategy comparison'!K12</f>
        <v>0.26881774999999997</v>
      </c>
      <c r="L43" s="334">
        <f>'Strategy comparison'!L12</f>
        <v>0.21355915</v>
      </c>
    </row>
    <row r="44" spans="5:12" ht="16" thickBot="1" x14ac:dyDescent="0.25">
      <c r="E44" s="262" t="s">
        <v>133</v>
      </c>
      <c r="F44" s="266">
        <f>'DB comparison'!F34</f>
        <v>0.23298854999999996</v>
      </c>
      <c r="G44" s="266">
        <f>'DB comparison'!G34</f>
        <v>0.2105263157894737</v>
      </c>
      <c r="H44" s="266">
        <f ca="1">'DB comparison'!H34</f>
        <v>0.20410716392396069</v>
      </c>
      <c r="I44" s="266">
        <f>'DB comparison'!I34</f>
        <v>0.21355915</v>
      </c>
      <c r="J44" s="266">
        <f ca="1">'DB comparison'!J34</f>
        <v>0.21011791953193446</v>
      </c>
      <c r="K44" s="266">
        <f>'DB comparison'!K34</f>
        <v>0.23298854999999996</v>
      </c>
      <c r="L44" s="335">
        <f>'DB comparison'!L34</f>
        <v>0.21355915</v>
      </c>
    </row>
  </sheetData>
  <mergeCells count="3">
    <mergeCell ref="E11:L11"/>
    <mergeCell ref="E23:L23"/>
    <mergeCell ref="G2:L2"/>
  </mergeCells>
  <conditionalFormatting sqref="F20:L20">
    <cfRule type="colorScale" priority="5">
      <colorScale>
        <cfvo type="min"/>
        <cfvo type="max"/>
        <color rgb="FFFCFCFF"/>
        <color rgb="FF63BE7B"/>
      </colorScale>
    </cfRule>
  </conditionalFormatting>
  <conditionalFormatting sqref="F21:L21">
    <cfRule type="colorScale" priority="6">
      <colorScale>
        <cfvo type="min"/>
        <cfvo type="max"/>
        <color rgb="FF63BE7B"/>
        <color rgb="FFFCFCFF"/>
      </colorScale>
    </cfRule>
  </conditionalFormatting>
  <conditionalFormatting sqref="F33:L33">
    <cfRule type="colorScale" priority="3">
      <colorScale>
        <cfvo type="min"/>
        <cfvo type="max"/>
        <color rgb="FFFCFCFF"/>
        <color rgb="FF63BE7B"/>
      </colorScale>
    </cfRule>
  </conditionalFormatting>
  <conditionalFormatting sqref="F34:L34">
    <cfRule type="colorScale" priority="4">
      <colorScale>
        <cfvo type="min"/>
        <cfvo type="max"/>
        <color rgb="FF63BE7B"/>
        <color rgb="FFFCFCFF"/>
      </colorScale>
    </cfRule>
  </conditionalFormatting>
  <conditionalFormatting sqref="F38:L39">
    <cfRule type="colorScale" priority="1">
      <colorScale>
        <cfvo type="min"/>
        <cfvo type="max"/>
        <color rgb="FFFCFCFF"/>
        <color rgb="FF63BE7B"/>
      </colorScale>
    </cfRule>
  </conditionalFormatting>
  <conditionalFormatting sqref="F43:L44">
    <cfRule type="colorScale" priority="2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7015-B756-0648-B3E6-CF3F8A8C474A}">
  <dimension ref="B1:V86"/>
  <sheetViews>
    <sheetView workbookViewId="0">
      <selection activeCell="C3" sqref="C3"/>
    </sheetView>
  </sheetViews>
  <sheetFormatPr baseColWidth="10" defaultColWidth="11.5" defaultRowHeight="15" x14ac:dyDescent="0.2"/>
  <cols>
    <col min="2" max="2" width="33.83203125" customWidth="1"/>
    <col min="3" max="3" width="14.5" customWidth="1"/>
    <col min="5" max="5" width="20.1640625" customWidth="1"/>
    <col min="6" max="6" width="10.6640625" bestFit="1" customWidth="1"/>
    <col min="7" max="7" width="11.5" bestFit="1" customWidth="1"/>
    <col min="8" max="8" width="16.5" bestFit="1" customWidth="1"/>
    <col min="9" max="9" width="16.6640625" bestFit="1" customWidth="1"/>
    <col min="10" max="10" width="22.33203125" bestFit="1" customWidth="1"/>
    <col min="11" max="11" width="20" bestFit="1" customWidth="1"/>
    <col min="12" max="12" width="22.33203125" bestFit="1" customWidth="1"/>
    <col min="14" max="14" width="25.33203125" bestFit="1" customWidth="1"/>
    <col min="15" max="15" width="23.6640625" customWidth="1"/>
    <col min="16" max="16" width="25.33203125" bestFit="1" customWidth="1"/>
    <col min="17" max="17" width="10.83203125" customWidth="1"/>
    <col min="18" max="18" width="44.83203125" customWidth="1"/>
    <col min="19" max="19" width="8" customWidth="1"/>
    <col min="20" max="20" width="25.83203125" customWidth="1"/>
    <col min="21" max="22" width="25.83203125" style="340" customWidth="1"/>
  </cols>
  <sheetData>
    <row r="1" spans="2:22" ht="16" thickBot="1" x14ac:dyDescent="0.25">
      <c r="S1" s="339" t="s">
        <v>207</v>
      </c>
      <c r="T1" s="394" t="s">
        <v>264</v>
      </c>
      <c r="U1" s="394" t="s">
        <v>267</v>
      </c>
      <c r="V1" s="394" t="s">
        <v>261</v>
      </c>
    </row>
    <row r="2" spans="2:22" ht="16" thickBot="1" x14ac:dyDescent="0.25">
      <c r="B2" s="118" t="s">
        <v>225</v>
      </c>
      <c r="C2" s="342">
        <v>450000</v>
      </c>
      <c r="G2" s="416" t="s">
        <v>226</v>
      </c>
      <c r="H2" s="417"/>
      <c r="I2" s="417"/>
      <c r="J2" s="417"/>
      <c r="K2" s="417"/>
      <c r="L2" s="418"/>
      <c r="N2" s="118" t="s">
        <v>263</v>
      </c>
      <c r="O2" s="355" t="s">
        <v>252</v>
      </c>
      <c r="P2" s="120" t="s">
        <v>270</v>
      </c>
      <c r="S2" s="341">
        <f>C3</f>
        <v>65</v>
      </c>
      <c r="T2" s="141">
        <f ca="1">IFERROR(_xlfn.XLOOKUP(S2,'RMD Simulation'!AL:AL,'RMD Simulation'!AS:AS),"")</f>
        <v>13235.941010526316</v>
      </c>
      <c r="U2" s="340">
        <f>IFERROR(_xlfn.XLOOKUP(S2,'RMD Simulation'!AA:AA,'RMD Simulation'!AH:AH),"")</f>
        <v>11241.301600000003</v>
      </c>
      <c r="V2" s="340">
        <f>IFERROR(_xlfn.XLOOKUP(S2,'RMD Simulation'!P:P,'RMD Simulation'!W:W),"")</f>
        <v>11700</v>
      </c>
    </row>
    <row r="3" spans="2:22" ht="16" thickBot="1" x14ac:dyDescent="0.25">
      <c r="B3" s="291" t="s">
        <v>253</v>
      </c>
      <c r="C3" s="363">
        <v>65</v>
      </c>
      <c r="G3" s="372" t="s">
        <v>234</v>
      </c>
      <c r="H3" s="373" t="s">
        <v>235</v>
      </c>
      <c r="I3" s="374" t="s">
        <v>236</v>
      </c>
      <c r="J3" s="374" t="s">
        <v>237</v>
      </c>
      <c r="K3" s="373" t="s">
        <v>238</v>
      </c>
      <c r="L3" s="373" t="s">
        <v>239</v>
      </c>
      <c r="N3" s="174">
        <f ca="1">O3-C13</f>
        <v>119101.47473684215</v>
      </c>
      <c r="O3" s="404">
        <f>'RMD Simulation'!B14</f>
        <v>168967.46</v>
      </c>
      <c r="P3" s="403">
        <f>'RMD Simulation'!B22</f>
        <v>151199.99999999994</v>
      </c>
      <c r="S3">
        <f>IFERROR(IF(S2+1&gt;99,"",S2+1),"")</f>
        <v>66</v>
      </c>
      <c r="T3" s="141">
        <f ca="1">IFERROR(_xlfn.XLOOKUP(S3,'RMD Simulation'!AL:AL,'RMD Simulation'!AS:AS),"")</f>
        <v>13595.958606012633</v>
      </c>
      <c r="U3" s="340">
        <f>IFERROR(_xlfn.XLOOKUP(S3,'RMD Simulation'!AA:AA,'RMD Simulation'!AH:AH),"")</f>
        <v>11547.065003520001</v>
      </c>
      <c r="V3" s="340">
        <f>IFERROR(_xlfn.XLOOKUP(S3,'RMD Simulation'!P:P,'RMD Simulation'!W:W),"")</f>
        <v>12018.240000000002</v>
      </c>
    </row>
    <row r="4" spans="2:22" x14ac:dyDescent="0.2">
      <c r="B4" s="291" t="s">
        <v>247</v>
      </c>
      <c r="C4" s="363">
        <v>65</v>
      </c>
      <c r="G4" s="375" t="s">
        <v>168</v>
      </c>
      <c r="H4" s="376" t="s">
        <v>67</v>
      </c>
      <c r="I4" s="377" t="s">
        <v>130</v>
      </c>
      <c r="J4" s="377" t="s">
        <v>130</v>
      </c>
      <c r="K4" s="376" t="s">
        <v>142</v>
      </c>
      <c r="L4" s="376" t="s">
        <v>142</v>
      </c>
      <c r="N4" s="291" t="s">
        <v>265</v>
      </c>
      <c r="O4" s="246" t="s">
        <v>266</v>
      </c>
      <c r="P4" s="402" t="s">
        <v>262</v>
      </c>
      <c r="S4">
        <f t="shared" ref="S4:S67" si="0">IFERROR(IF(S3+1&gt;99,"",S3+1),"")</f>
        <v>67</v>
      </c>
      <c r="T4" s="141">
        <f ca="1">IFERROR(_xlfn.XLOOKUP(S4,'RMD Simulation'!AL:AL,'RMD Simulation'!AS:AS),"")</f>
        <v>13965.768680096178</v>
      </c>
      <c r="U4" s="340">
        <f>IFERROR(_xlfn.XLOOKUP(S4,'RMD Simulation'!AA:AA,'RMD Simulation'!AH:AH),"")</f>
        <v>11861.145171615746</v>
      </c>
      <c r="V4" s="340">
        <f>IFERROR(_xlfn.XLOOKUP(S4,'RMD Simulation'!P:P,'RMD Simulation'!W:W),"")</f>
        <v>12345.136128</v>
      </c>
    </row>
    <row r="5" spans="2:22" ht="16" thickBot="1" x14ac:dyDescent="0.25">
      <c r="B5" s="291" t="s">
        <v>249</v>
      </c>
      <c r="C5" s="398">
        <v>0.04</v>
      </c>
      <c r="G5" s="379"/>
      <c r="H5" s="380"/>
      <c r="I5" s="380"/>
      <c r="J5" s="380"/>
      <c r="K5" s="380"/>
      <c r="L5" s="380"/>
      <c r="N5" s="174">
        <f ca="1">'RMD Simulation'!AO68</f>
        <v>304538.75757416582</v>
      </c>
      <c r="O5" s="404">
        <f>'RMD Simulation'!AH68</f>
        <v>258645.15564536751</v>
      </c>
      <c r="P5" s="140">
        <f>'RMD Simulation'!W68</f>
        <v>269199.10422568873</v>
      </c>
      <c r="S5">
        <f t="shared" si="0"/>
        <v>68</v>
      </c>
      <c r="T5" s="141">
        <f ca="1">IFERROR(_xlfn.XLOOKUP(S5,'RMD Simulation'!AL:AL,'RMD Simulation'!AS:AS),"")</f>
        <v>14345.637588194795</v>
      </c>
      <c r="U5" s="340">
        <f>IFERROR(_xlfn.XLOOKUP(S5,'RMD Simulation'!AA:AA,'RMD Simulation'!AH:AH),"")</f>
        <v>12183.768320283694</v>
      </c>
      <c r="V5" s="340">
        <f>IFERROR(_xlfn.XLOOKUP(S5,'RMD Simulation'!P:P,'RMD Simulation'!W:W),"")</f>
        <v>12680.923830681602</v>
      </c>
    </row>
    <row r="6" spans="2:22" ht="16" thickBot="1" x14ac:dyDescent="0.25">
      <c r="B6" s="291" t="s">
        <v>268</v>
      </c>
      <c r="C6" s="397">
        <f>'RMD Simulation'!B15</f>
        <v>0.37548324444444442</v>
      </c>
      <c r="G6" s="378"/>
      <c r="H6" s="378"/>
      <c r="I6" s="378"/>
      <c r="J6" s="375" t="s">
        <v>67</v>
      </c>
      <c r="K6" s="376" t="s">
        <v>131</v>
      </c>
      <c r="L6" s="376" t="s">
        <v>131</v>
      </c>
      <c r="S6">
        <f t="shared" si="0"/>
        <v>69</v>
      </c>
      <c r="T6" s="141">
        <f ca="1">IFERROR(_xlfn.XLOOKUP(S6,'RMD Simulation'!AL:AL,'RMD Simulation'!AS:AS),"")</f>
        <v>14735.838930593694</v>
      </c>
      <c r="U6" s="340">
        <f>IFERROR(_xlfn.XLOOKUP(S6,'RMD Simulation'!AA:AA,'RMD Simulation'!AH:AH),"")</f>
        <v>12515.166818595413</v>
      </c>
      <c r="V6" s="340">
        <f>IFERROR(_xlfn.XLOOKUP(S6,'RMD Simulation'!P:P,'RMD Simulation'!W:W),"")</f>
        <v>13025.844958876141</v>
      </c>
    </row>
    <row r="7" spans="2:22" ht="16" thickBot="1" x14ac:dyDescent="0.25">
      <c r="B7" s="291" t="s">
        <v>269</v>
      </c>
      <c r="C7" s="399">
        <v>0.35</v>
      </c>
      <c r="G7" s="378"/>
      <c r="H7" s="378"/>
      <c r="I7" s="378"/>
      <c r="J7" s="381"/>
      <c r="K7" s="382"/>
      <c r="L7" s="382"/>
      <c r="S7">
        <f>IFERROR(IF(S6+1&gt;99,"",S6+1),"")</f>
        <v>70</v>
      </c>
      <c r="T7" s="141">
        <f ca="1">IFERROR(_xlfn.XLOOKUP(S7,'RMD Simulation'!AL:AL,'RMD Simulation'!AS:AS),"")</f>
        <v>15136.653749505846</v>
      </c>
      <c r="U7" s="340">
        <f>IFERROR(_xlfn.XLOOKUP(S7,'RMD Simulation'!AA:AA,'RMD Simulation'!AH:AH),"")</f>
        <v>12855.579356061207</v>
      </c>
      <c r="V7" s="340">
        <f>IFERROR(_xlfn.XLOOKUP(S7,'RMD Simulation'!P:P,'RMD Simulation'!W:W),"")</f>
        <v>13380.147941757572</v>
      </c>
    </row>
    <row r="8" spans="2:22" ht="16" thickBot="1" x14ac:dyDescent="0.25">
      <c r="B8" s="291" t="s">
        <v>243</v>
      </c>
      <c r="C8" s="397">
        <f>IF(C7="",C6,C7)</f>
        <v>0.35</v>
      </c>
      <c r="G8" s="378"/>
      <c r="H8" s="378"/>
      <c r="I8" s="378"/>
      <c r="J8" s="378"/>
      <c r="K8" s="378"/>
      <c r="L8" s="375" t="s">
        <v>130</v>
      </c>
      <c r="S8">
        <f t="shared" si="0"/>
        <v>71</v>
      </c>
      <c r="T8" s="141">
        <f ca="1">IFERROR(_xlfn.XLOOKUP(S8,'RMD Simulation'!AL:AL,'RMD Simulation'!AS:AS),"")</f>
        <v>15548.370731492403</v>
      </c>
      <c r="U8" s="340">
        <f>IFERROR(_xlfn.XLOOKUP(S8,'RMD Simulation'!AA:AA,'RMD Simulation'!AH:AH),"")</f>
        <v>13205.25111454607</v>
      </c>
      <c r="V8" s="340">
        <f>IFERROR(_xlfn.XLOOKUP(S8,'RMD Simulation'!P:P,'RMD Simulation'!W:W),"")</f>
        <v>13744.087965773379</v>
      </c>
    </row>
    <row r="9" spans="2:22" ht="16" thickBot="1" x14ac:dyDescent="0.25">
      <c r="B9" s="227" t="s">
        <v>242</v>
      </c>
      <c r="C9" s="400">
        <v>7.0000000000000007E-2</v>
      </c>
      <c r="G9" s="378"/>
      <c r="H9" s="378"/>
      <c r="I9" s="378"/>
      <c r="J9" s="378"/>
      <c r="K9" s="378"/>
      <c r="L9" s="381"/>
      <c r="S9">
        <f t="shared" si="0"/>
        <v>72</v>
      </c>
      <c r="T9" s="141">
        <f ca="1">IFERROR(_xlfn.XLOOKUP(S9,'RMD Simulation'!AL:AL,'RMD Simulation'!AS:AS),"")</f>
        <v>15971.286415388999</v>
      </c>
      <c r="U9" s="340">
        <f>IFERROR(_xlfn.XLOOKUP(S9,'RMD Simulation'!AA:AA,'RMD Simulation'!AH:AH),"")</f>
        <v>13564.433944861725</v>
      </c>
      <c r="V9" s="340">
        <f>IFERROR(_xlfn.XLOOKUP(S9,'RMD Simulation'!P:P,'RMD Simulation'!W:W),"")</f>
        <v>14117.927158442415</v>
      </c>
    </row>
    <row r="10" spans="2:22" ht="16" thickBot="1" x14ac:dyDescent="0.25">
      <c r="S10">
        <f t="shared" si="0"/>
        <v>73</v>
      </c>
      <c r="T10" s="141">
        <f ca="1">IFERROR(_xlfn.XLOOKUP(S10,'RMD Simulation'!AL:AL,'RMD Simulation'!AS:AS),"")</f>
        <v>16405.70540588758</v>
      </c>
      <c r="U10" s="340">
        <f>IFERROR(_xlfn.XLOOKUP(S10,'RMD Simulation'!AA:AA,'RMD Simulation'!AH:AH),"")</f>
        <v>13933.386548161963</v>
      </c>
      <c r="V10" s="340">
        <f>IFERROR(_xlfn.XLOOKUP(S10,'RMD Simulation'!P:P,'RMD Simulation'!W:W),"")</f>
        <v>14501.93477715205</v>
      </c>
    </row>
    <row r="11" spans="2:22" ht="16" thickBot="1" x14ac:dyDescent="0.25">
      <c r="B11" s="355" t="s">
        <v>255</v>
      </c>
      <c r="C11" s="401"/>
      <c r="E11" s="413" t="s">
        <v>228</v>
      </c>
      <c r="F11" s="414"/>
      <c r="G11" s="414"/>
      <c r="H11" s="414"/>
      <c r="I11" s="414"/>
      <c r="J11" s="414"/>
      <c r="K11" s="414"/>
      <c r="L11" s="415"/>
      <c r="S11">
        <f t="shared" si="0"/>
        <v>74</v>
      </c>
      <c r="T11" s="141">
        <f ca="1">IFERROR(_xlfn.XLOOKUP(S11,'RMD Simulation'!AL:AL,'RMD Simulation'!AS:AS),"")</f>
        <v>16851.940592927724</v>
      </c>
      <c r="U11" s="340">
        <f>IFERROR(_xlfn.XLOOKUP(S11,'RMD Simulation'!AA:AA,'RMD Simulation'!AH:AH),"")</f>
        <v>14312.374662271968</v>
      </c>
      <c r="V11" s="340">
        <f>IFERROR(_xlfn.XLOOKUP(S11,'RMD Simulation'!P:P,'RMD Simulation'!W:W),"")</f>
        <v>14896.387403090586</v>
      </c>
    </row>
    <row r="12" spans="2:22" ht="16" thickBot="1" x14ac:dyDescent="0.25">
      <c r="B12" s="246" t="s">
        <v>256</v>
      </c>
      <c r="C12" s="395" t="str">
        <f ca="1">IF(C11="",_xlfn.XLOOKUP(MAX(F42:L42),F42:L42,F40:L40),C11)</f>
        <v>Film</v>
      </c>
      <c r="E12" s="322"/>
      <c r="F12" s="323" t="s">
        <v>8</v>
      </c>
      <c r="G12" s="324" t="s">
        <v>165</v>
      </c>
      <c r="H12" s="325" t="s">
        <v>82</v>
      </c>
      <c r="I12" s="326" t="s">
        <v>115</v>
      </c>
      <c r="J12" s="326" t="s">
        <v>116</v>
      </c>
      <c r="K12" s="327" t="s">
        <v>170</v>
      </c>
      <c r="L12" s="324" t="s">
        <v>173</v>
      </c>
      <c r="S12">
        <f t="shared" si="0"/>
        <v>75</v>
      </c>
      <c r="T12" s="141">
        <f ca="1">IFERROR(_xlfn.XLOOKUP(S12,'RMD Simulation'!AL:AL,'RMD Simulation'!AS:AS),"")</f>
        <v>17591.781887251378</v>
      </c>
      <c r="U12" s="340">
        <f>IFERROR(_xlfn.XLOOKUP(S12,'RMD Simulation'!AA:AA,'RMD Simulation'!AH:AH),"")</f>
        <v>14940.722818176589</v>
      </c>
      <c r="V12" s="340">
        <f>IFERROR(_xlfn.XLOOKUP(S12,'RMD Simulation'!P:P,'RMD Simulation'!W:W),"")</f>
        <v>15550.375142738461</v>
      </c>
    </row>
    <row r="13" spans="2:22" ht="16" thickBot="1" x14ac:dyDescent="0.25">
      <c r="B13" s="356" t="s">
        <v>12</v>
      </c>
      <c r="C13" s="140">
        <f ca="1">_xlfn.XLOOKUP(C12,F40:L40,F43:L43)</f>
        <v>49865.98526315784</v>
      </c>
      <c r="E13" s="169" t="s">
        <v>110</v>
      </c>
      <c r="F13" s="218">
        <f>'No planning'!C19</f>
        <v>81195.419999999984</v>
      </c>
      <c r="G13" s="290">
        <f>Film!C22</f>
        <v>11599.88</v>
      </c>
      <c r="H13" s="284">
        <f ca="1">MIN(Solar!C20, F13)</f>
        <v>0</v>
      </c>
      <c r="I13" s="219">
        <f>Charitable!C22</f>
        <v>33423.659999999996</v>
      </c>
      <c r="J13" s="284">
        <f ca="1">MIN('Solar &amp; Charitable'!C25,'Solar &amp; Charitable'!C58)</f>
        <v>0</v>
      </c>
      <c r="K13" s="220">
        <f>LEAP!C28</f>
        <v>113167.09999999998</v>
      </c>
      <c r="L13" s="221">
        <f>'LEAP &amp; Charitable'!C63</f>
        <v>33423.659999999996</v>
      </c>
      <c r="S13">
        <f t="shared" si="0"/>
        <v>76</v>
      </c>
      <c r="T13" s="141">
        <f ca="1">IFERROR(_xlfn.XLOOKUP(S13,'RMD Simulation'!AL:AL,'RMD Simulation'!AS:AS),"")</f>
        <v>18743.783806619067</v>
      </c>
      <c r="U13" s="340">
        <f>IFERROR(_xlfn.XLOOKUP(S13,'RMD Simulation'!AA:AA,'RMD Simulation'!AH:AH),"")</f>
        <v>15919.119519181235</v>
      </c>
      <c r="V13" s="340">
        <f>IFERROR(_xlfn.XLOOKUP(S13,'RMD Simulation'!P:P,'RMD Simulation'!W:W),"")</f>
        <v>16568.695067697539</v>
      </c>
    </row>
    <row r="14" spans="2:22" x14ac:dyDescent="0.2">
      <c r="E14" s="179" t="s">
        <v>227</v>
      </c>
      <c r="F14" s="222">
        <f>'RMD Simulation'!$B$22</f>
        <v>151199.99999999994</v>
      </c>
      <c r="G14" s="222">
        <f>'RMD Simulation'!$B$22</f>
        <v>151199.99999999994</v>
      </c>
      <c r="H14" s="222">
        <f>'RMD Simulation'!$B$22</f>
        <v>151199.99999999994</v>
      </c>
      <c r="I14" s="222">
        <f>'RMD Simulation'!$B$22</f>
        <v>151199.99999999994</v>
      </c>
      <c r="J14" s="222">
        <f>'RMD Simulation'!$B$22</f>
        <v>151199.99999999994</v>
      </c>
      <c r="K14" s="222">
        <f>'RMD Simulation'!$B$22</f>
        <v>151199.99999999994</v>
      </c>
      <c r="L14" s="222">
        <f>'RMD Simulation'!$B$22</f>
        <v>151199.99999999994</v>
      </c>
      <c r="S14">
        <f t="shared" si="0"/>
        <v>77</v>
      </c>
      <c r="T14" s="141">
        <f ca="1">IFERROR(_xlfn.XLOOKUP(S14,'RMD Simulation'!AL:AL,'RMD Simulation'!AS:AS),"")</f>
        <v>19880.688422662472</v>
      </c>
      <c r="U14" s="340">
        <f>IFERROR(_xlfn.XLOOKUP(S14,'RMD Simulation'!AA:AA,'RMD Simulation'!AH:AH),"")</f>
        <v>16884.694061196205</v>
      </c>
      <c r="V14" s="340">
        <f>IFERROR(_xlfn.XLOOKUP(S14,'RMD Simulation'!P:P,'RMD Simulation'!W:W),"")</f>
        <v>17573.669628790634</v>
      </c>
    </row>
    <row r="15" spans="2:22" x14ac:dyDescent="0.2">
      <c r="E15" s="246" t="s">
        <v>111</v>
      </c>
      <c r="F15" s="357">
        <f>'No planning'!C20</f>
        <v>0</v>
      </c>
      <c r="G15" s="358">
        <f>Film!C24</f>
        <v>0</v>
      </c>
      <c r="H15" s="359">
        <f ca="1">MIN(MAX(Solar!C20 - H13, 0), F15)</f>
        <v>0</v>
      </c>
      <c r="I15" s="221">
        <f>Charitable!C24</f>
        <v>0</v>
      </c>
      <c r="J15" s="359">
        <f ca="1">MIN(MAX('Solar &amp; Charitable'!C58-J13,0),'Solar &amp; Charitable'!C27)</f>
        <v>0</v>
      </c>
      <c r="K15" s="357">
        <f>LEAP!J28</f>
        <v>0</v>
      </c>
      <c r="L15" s="221">
        <f>'LEAP &amp; Charitable'!C65</f>
        <v>0</v>
      </c>
      <c r="S15">
        <f t="shared" si="0"/>
        <v>78</v>
      </c>
      <c r="T15" s="141">
        <f ca="1">IFERROR(_xlfn.XLOOKUP(S15,'RMD Simulation'!AL:AL,'RMD Simulation'!AS:AS),"")</f>
        <v>21175.644173102261</v>
      </c>
      <c r="U15" s="340">
        <f>IFERROR(_xlfn.XLOOKUP(S15,'RMD Simulation'!AA:AA,'RMD Simulation'!AH:AH),"")</f>
        <v>17984.501633455031</v>
      </c>
      <c r="V15" s="340">
        <f>IFERROR(_xlfn.XLOOKUP(S15,'RMD Simulation'!P:P,'RMD Simulation'!W:W),"")</f>
        <v>18718.354564156863</v>
      </c>
    </row>
    <row r="16" spans="2:22" x14ac:dyDescent="0.2">
      <c r="E16" s="179" t="s">
        <v>146</v>
      </c>
      <c r="F16" s="222">
        <f>'No planning'!I42</f>
        <v>12000</v>
      </c>
      <c r="G16" s="222">
        <f>Film!I42</f>
        <v>3024</v>
      </c>
      <c r="H16" s="223">
        <f ca="1">Solar!J42</f>
        <v>11059.731535269131</v>
      </c>
      <c r="I16" s="224">
        <f>Charitable!H42</f>
        <v>12000</v>
      </c>
      <c r="J16" s="224">
        <f ca="1">'Solar &amp; Charitable'!J42</f>
        <v>11017.770299204019</v>
      </c>
      <c r="K16" s="222">
        <f>LEAP!C29</f>
        <v>12000</v>
      </c>
      <c r="L16" s="224">
        <f>'LEAP &amp; Charitable'!C64</f>
        <v>12000</v>
      </c>
      <c r="S16">
        <f t="shared" si="0"/>
        <v>79</v>
      </c>
      <c r="T16" s="141">
        <f ca="1">IFERROR(_xlfn.XLOOKUP(S16,'RMD Simulation'!AL:AL,'RMD Simulation'!AS:AS),"")</f>
        <v>22550.55566680606</v>
      </c>
      <c r="U16" s="340">
        <f>IFERROR(_xlfn.XLOOKUP(S16,'RMD Simulation'!AA:AA,'RMD Simulation'!AH:AH),"")</f>
        <v>19152.215720556138</v>
      </c>
      <c r="V16" s="340">
        <f>IFERROR(_xlfn.XLOOKUP(S16,'RMD Simulation'!P:P,'RMD Simulation'!W:W),"")</f>
        <v>19933.716922113967</v>
      </c>
    </row>
    <row r="17" spans="5:22" x14ac:dyDescent="0.2">
      <c r="E17" s="170" t="s">
        <v>9</v>
      </c>
      <c r="F17" s="218">
        <v>0</v>
      </c>
      <c r="G17" s="218">
        <f>Film!D14</f>
        <v>62989.473684210527</v>
      </c>
      <c r="H17" s="225">
        <f ca="1">Solar!C18</f>
        <v>70583.134034315139</v>
      </c>
      <c r="I17" s="226">
        <f>Charitable!D14</f>
        <v>40000</v>
      </c>
      <c r="J17" s="226">
        <f ca="1">'Solar &amp; Charitable'!D17+'Solar &amp; Charitable'!C49</f>
        <v>73013.341509698395</v>
      </c>
      <c r="K17" s="218">
        <f>LEAP!D14+LEAP!E14+LEAP!D12+LEAP!E12</f>
        <v>-17640</v>
      </c>
      <c r="L17" s="221">
        <f>'LEAP &amp; Charitable'!C78-L19</f>
        <v>40000</v>
      </c>
      <c r="S17">
        <f t="shared" si="0"/>
        <v>80</v>
      </c>
      <c r="T17" s="141">
        <f ca="1">IFERROR(_xlfn.XLOOKUP(S17,'RMD Simulation'!AL:AL,'RMD Simulation'!AS:AS),"")</f>
        <v>24009.643600296928</v>
      </c>
      <c r="U17" s="340">
        <f>IFERROR(_xlfn.XLOOKUP(S17,'RMD Simulation'!AA:AA,'RMD Simulation'!AH:AH),"")</f>
        <v>20391.420965445592</v>
      </c>
      <c r="V17" s="340">
        <f>IFERROR(_xlfn.XLOOKUP(S17,'RMD Simulation'!P:P,'RMD Simulation'!W:W),"")</f>
        <v>21223.487616034912</v>
      </c>
    </row>
    <row r="18" spans="5:22" x14ac:dyDescent="0.2">
      <c r="E18" s="179" t="s">
        <v>93</v>
      </c>
      <c r="F18" s="222">
        <v>0</v>
      </c>
      <c r="G18" s="222">
        <v>0</v>
      </c>
      <c r="H18" s="223">
        <v>0</v>
      </c>
      <c r="I18" s="224">
        <v>0</v>
      </c>
      <c r="J18" s="224">
        <v>0</v>
      </c>
      <c r="K18" s="222">
        <f>LEAP!D20+LEAP!E20</f>
        <v>-7560</v>
      </c>
      <c r="L18" s="224">
        <f>'LEAP &amp; Charitable'!C79</f>
        <v>0</v>
      </c>
      <c r="S18">
        <f t="shared" si="0"/>
        <v>81</v>
      </c>
      <c r="T18" s="141">
        <f ca="1">IFERROR(_xlfn.XLOOKUP(S18,'RMD Simulation'!AL:AL,'RMD Simulation'!AS:AS),"")</f>
        <v>25425.470006417534</v>
      </c>
      <c r="U18" s="340">
        <f>IFERROR(_xlfn.XLOOKUP(S18,'RMD Simulation'!AA:AA,'RMD Simulation'!AH:AH),"")</f>
        <v>21593.884139902795</v>
      </c>
      <c r="V18" s="340">
        <f>IFERROR(_xlfn.XLOOKUP(S18,'RMD Simulation'!P:P,'RMD Simulation'!W:W),"")</f>
        <v>22475.016988856769</v>
      </c>
    </row>
    <row r="19" spans="5:22" x14ac:dyDescent="0.2">
      <c r="E19" s="170" t="s">
        <v>199</v>
      </c>
      <c r="F19" s="218">
        <v>0</v>
      </c>
      <c r="G19" s="218">
        <f>Film!D16</f>
        <v>0</v>
      </c>
      <c r="H19" s="225">
        <f>'Strategy comparison'!C12</f>
        <v>0</v>
      </c>
      <c r="I19" s="226">
        <f>'Strategy comparison'!C12</f>
        <v>0</v>
      </c>
      <c r="J19" s="226">
        <f>'Strategy comparison'!C12</f>
        <v>0</v>
      </c>
      <c r="K19" s="218">
        <f>'Strategy comparison'!C12</f>
        <v>0</v>
      </c>
      <c r="L19" s="221">
        <f>'Strategy comparison'!C12</f>
        <v>0</v>
      </c>
      <c r="S19">
        <f t="shared" si="0"/>
        <v>82</v>
      </c>
      <c r="T19" s="141">
        <f ca="1">IFERROR(_xlfn.XLOOKUP(S19,'RMD Simulation'!AL:AL,'RMD Simulation'!AS:AS),"")</f>
        <v>27058.197485748562</v>
      </c>
      <c r="U19" s="340">
        <f>IFERROR(_xlfn.XLOOKUP(S19,'RMD Simulation'!AA:AA,'RMD Simulation'!AH:AH),"")</f>
        <v>22980.561672778716</v>
      </c>
      <c r="V19" s="340">
        <f>IFERROR(_xlfn.XLOOKUP(S19,'RMD Simulation'!P:P,'RMD Simulation'!W:W),"")</f>
        <v>23918.277539276325</v>
      </c>
    </row>
    <row r="20" spans="5:22" ht="16" thickBot="1" x14ac:dyDescent="0.25">
      <c r="E20" s="179" t="s">
        <v>95</v>
      </c>
      <c r="F20" s="222">
        <f t="shared" ref="F20:L20" si="1">SUM(F13:F19)</f>
        <v>244395.41999999993</v>
      </c>
      <c r="G20" s="224">
        <f t="shared" si="1"/>
        <v>228813.35368421048</v>
      </c>
      <c r="H20" s="223">
        <f t="shared" ca="1" si="1"/>
        <v>232842.86556958419</v>
      </c>
      <c r="I20" s="224">
        <f t="shared" si="1"/>
        <v>236623.65999999995</v>
      </c>
      <c r="J20" s="224">
        <f t="shared" ca="1" si="1"/>
        <v>235231.11180890235</v>
      </c>
      <c r="K20" s="224">
        <f t="shared" si="1"/>
        <v>251167.09999999992</v>
      </c>
      <c r="L20" s="224">
        <f t="shared" si="1"/>
        <v>236623.65999999995</v>
      </c>
      <c r="S20">
        <f t="shared" si="0"/>
        <v>83</v>
      </c>
      <c r="T20" s="141">
        <f ca="1">IFERROR(_xlfn.XLOOKUP(S20,'RMD Simulation'!AL:AL,'RMD Simulation'!AS:AS),"")</f>
        <v>28625.127001166205</v>
      </c>
      <c r="U20" s="340">
        <f>IFERROR(_xlfn.XLOOKUP(S20,'RMD Simulation'!AA:AA,'RMD Simulation'!AH:AH),"")</f>
        <v>24311.356910891605</v>
      </c>
      <c r="V20" s="340">
        <f>IFERROR(_xlfn.XLOOKUP(S20,'RMD Simulation'!P:P,'RMD Simulation'!W:W),"")</f>
        <v>25303.375532370013</v>
      </c>
    </row>
    <row r="21" spans="5:22" x14ac:dyDescent="0.2">
      <c r="E21" s="180" t="s">
        <v>12</v>
      </c>
      <c r="F21" s="219">
        <v>0</v>
      </c>
      <c r="G21" s="219">
        <f>$F20-G20</f>
        <v>15582.066315789445</v>
      </c>
      <c r="H21" s="256">
        <f ca="1">$F20-H20</f>
        <v>11552.554430415737</v>
      </c>
      <c r="I21" s="219">
        <f>$F20-I20</f>
        <v>7771.7599999999802</v>
      </c>
      <c r="J21" s="256">
        <f ca="1">$F20-J20</f>
        <v>9164.3081910975743</v>
      </c>
      <c r="K21" s="219">
        <f>$F20-K20+K18</f>
        <v>-14331.679999999993</v>
      </c>
      <c r="L21" s="220">
        <f>F20-L20+L18</f>
        <v>7771.7599999999802</v>
      </c>
      <c r="S21">
        <f t="shared" si="0"/>
        <v>84</v>
      </c>
      <c r="T21" s="141">
        <f ca="1">IFERROR(_xlfn.XLOOKUP(S21,'RMD Simulation'!AL:AL,'RMD Simulation'!AS:AS),"")</f>
        <v>30446.571094276125</v>
      </c>
      <c r="U21" s="340">
        <f>IFERROR(_xlfn.XLOOKUP(S21,'RMD Simulation'!AA:AA,'RMD Simulation'!AH:AH),"")</f>
        <v>25858.311704804888</v>
      </c>
      <c r="V21" s="340">
        <f>IFERROR(_xlfn.XLOOKUP(S21,'RMD Simulation'!P:P,'RMD Simulation'!W:W),"")</f>
        <v>26913.453415947602</v>
      </c>
    </row>
    <row r="22" spans="5:22" ht="16" thickBot="1" x14ac:dyDescent="0.25">
      <c r="E22" s="171" t="s">
        <v>25</v>
      </c>
      <c r="F22" s="257">
        <f>($F$20-F21)/('No planning'!$C$15+$C$2)</f>
        <v>0.2875240235294117</v>
      </c>
      <c r="G22" s="257">
        <f>($F$20-G21)/('No planning'!$C$15+$C$2)</f>
        <v>0.2691921808049535</v>
      </c>
      <c r="H22" s="257">
        <f ca="1">($F$20-H21)/('No planning'!$C$15+$C$2)</f>
        <v>0.27393278302304019</v>
      </c>
      <c r="I22" s="257">
        <f>($F$20-I21)/('No planning'!$C$15+$C$2)</f>
        <v>0.27838077647058818</v>
      </c>
      <c r="J22" s="257">
        <f ca="1">($F$20-J21)/('No planning'!$C$15+$C$2)</f>
        <v>0.27674248448106159</v>
      </c>
      <c r="K22" s="257">
        <f>($F$20-K21)/('No planning'!$C$15+$C$2)</f>
        <v>0.30438482352941165</v>
      </c>
      <c r="L22" s="257">
        <f>($F$20-L21)/('No planning'!$C$15+$C$2)</f>
        <v>0.27838077647058818</v>
      </c>
      <c r="S22">
        <f t="shared" si="0"/>
        <v>85</v>
      </c>
      <c r="T22" s="141">
        <f ca="1">IFERROR(_xlfn.XLOOKUP(S22,'RMD Simulation'!AL:AL,'RMD Simulation'!AS:AS),"")</f>
        <v>32170.608182489512</v>
      </c>
      <c r="U22" s="340">
        <f>IFERROR(_xlfn.XLOOKUP(S22,'RMD Simulation'!AA:AA,'RMD Simulation'!AH:AH),"")</f>
        <v>27322.53860508947</v>
      </c>
      <c r="V22" s="340">
        <f>IFERROR(_xlfn.XLOOKUP(S22,'RMD Simulation'!P:P,'RMD Simulation'!W:W),"")</f>
        <v>28437.427715625643</v>
      </c>
    </row>
    <row r="23" spans="5:22" x14ac:dyDescent="0.2">
      <c r="S23">
        <f t="shared" si="0"/>
        <v>86</v>
      </c>
      <c r="T23" s="141">
        <f ca="1">IFERROR(_xlfn.XLOOKUP(S23,'RMD Simulation'!AL:AL,'RMD Simulation'!AS:AS),"")</f>
        <v>33969.622455852412</v>
      </c>
      <c r="U23" s="340">
        <f>IFERROR(_xlfn.XLOOKUP(S23,'RMD Simulation'!AA:AA,'RMD Simulation'!AH:AH),"")</f>
        <v>28850.443724453027</v>
      </c>
      <c r="V23" s="340">
        <f>IFERROR(_xlfn.XLOOKUP(S23,'RMD Simulation'!P:P,'RMD Simulation'!W:W),"")</f>
        <v>30027.678607617869</v>
      </c>
    </row>
    <row r="24" spans="5:22" x14ac:dyDescent="0.2">
      <c r="S24">
        <f t="shared" si="0"/>
        <v>87</v>
      </c>
      <c r="T24" s="141">
        <f ca="1">IFERROR(_xlfn.XLOOKUP(S24,'RMD Simulation'!AL:AL,'RMD Simulation'!AS:AS),"")</f>
        <v>35842.669694043172</v>
      </c>
      <c r="U24" s="340">
        <f>IFERROR(_xlfn.XLOOKUP(S24,'RMD Simulation'!AA:AA,'RMD Simulation'!AH:AH),"")</f>
        <v>30441.225135370787</v>
      </c>
      <c r="V24" s="340">
        <f>IFERROR(_xlfn.XLOOKUP(S24,'RMD Simulation'!P:P,'RMD Simulation'!W:W),"")</f>
        <v>31683.371441954587</v>
      </c>
    </row>
    <row r="25" spans="5:22" ht="16" thickBot="1" x14ac:dyDescent="0.25">
      <c r="S25">
        <f t="shared" si="0"/>
        <v>88</v>
      </c>
      <c r="T25" s="141">
        <f ca="1">IFERROR(_xlfn.XLOOKUP(S25,'RMD Simulation'!AL:AL,'RMD Simulation'!AS:AS),"")</f>
        <v>37511.839275415397</v>
      </c>
      <c r="U25" s="340">
        <f>IFERROR(_xlfn.XLOOKUP(S25,'RMD Simulation'!AA:AA,'RMD Simulation'!AH:AH),"")</f>
        <v>31858.852992039883</v>
      </c>
      <c r="V25" s="340">
        <f>IFERROR(_xlfn.XLOOKUP(S25,'RMD Simulation'!P:P,'RMD Simulation'!W:W),"")</f>
        <v>33158.845236112764</v>
      </c>
    </row>
    <row r="26" spans="5:22" ht="16" thickBot="1" x14ac:dyDescent="0.25">
      <c r="E26" s="413" t="s">
        <v>210</v>
      </c>
      <c r="F26" s="414"/>
      <c r="G26" s="414"/>
      <c r="H26" s="414"/>
      <c r="I26" s="414"/>
      <c r="J26" s="414"/>
      <c r="K26" s="414"/>
      <c r="L26" s="415"/>
      <c r="S26">
        <f t="shared" si="0"/>
        <v>89</v>
      </c>
      <c r="T26" s="141">
        <f ca="1">IFERROR(_xlfn.XLOOKUP(S26,'RMD Simulation'!AL:AL,'RMD Simulation'!AS:AS),"")</f>
        <v>39515.37859795503</v>
      </c>
      <c r="U26" s="340">
        <f>IFERROR(_xlfn.XLOOKUP(S26,'RMD Simulation'!AA:AA,'RMD Simulation'!AH:AH),"")</f>
        <v>33560.461496808522</v>
      </c>
      <c r="V26" s="340">
        <f>IFERROR(_xlfn.XLOOKUP(S26,'RMD Simulation'!P:P,'RMD Simulation'!W:W),"")</f>
        <v>34929.887435157856</v>
      </c>
    </row>
    <row r="27" spans="5:22" ht="16" thickBot="1" x14ac:dyDescent="0.25">
      <c r="E27" s="322"/>
      <c r="F27" s="323" t="s">
        <v>8</v>
      </c>
      <c r="G27" s="324" t="s">
        <v>165</v>
      </c>
      <c r="H27" s="325" t="s">
        <v>82</v>
      </c>
      <c r="I27" s="326" t="s">
        <v>115</v>
      </c>
      <c r="J27" s="326" t="s">
        <v>116</v>
      </c>
      <c r="K27" s="327" t="s">
        <v>170</v>
      </c>
      <c r="L27" s="324" t="s">
        <v>173</v>
      </c>
      <c r="S27">
        <f t="shared" si="0"/>
        <v>90</v>
      </c>
      <c r="T27" s="141">
        <f ca="1">IFERROR(_xlfn.XLOOKUP(S27,'RMD Simulation'!AL:AL,'RMD Simulation'!AS:AS),"")</f>
        <v>41241.747187521425</v>
      </c>
      <c r="U27" s="340">
        <f>IFERROR(_xlfn.XLOOKUP(S27,'RMD Simulation'!AA:AA,'RMD Simulation'!AH:AH),"")</f>
        <v>35026.668544169101</v>
      </c>
      <c r="V27" s="340">
        <f>IFERROR(_xlfn.XLOOKUP(S27,'RMD Simulation'!P:P,'RMD Simulation'!W:W),"")</f>
        <v>36455.922681300413</v>
      </c>
    </row>
    <row r="28" spans="5:22" x14ac:dyDescent="0.2">
      <c r="E28" s="252" t="s">
        <v>110</v>
      </c>
      <c r="F28" s="222">
        <f>'Roth only'!C19</f>
        <v>236662.87999999998</v>
      </c>
      <c r="G28" s="360">
        <f>'Film &amp; Roth'!C22</f>
        <v>0</v>
      </c>
      <c r="H28" s="361">
        <f ca="1">MIN('Solar &amp; Roth'!C20, F28)</f>
        <v>0</v>
      </c>
      <c r="I28" s="251">
        <f>'Charitable &amp; Roth'!C22</f>
        <v>88911.099999999977</v>
      </c>
      <c r="J28" s="361">
        <f ca="1">MIN('Solar &amp; Charitable &amp; Roth'!C25,'Solar &amp; Charitable &amp; Roth'!C58)</f>
        <v>0</v>
      </c>
      <c r="K28" s="362">
        <f>'LEAP &amp; Roth'!C28</f>
        <v>236662.87999999998</v>
      </c>
      <c r="L28" s="224">
        <f>'LEAP &amp; Charitable &amp; Roth'!C63</f>
        <v>88911.099999999977</v>
      </c>
      <c r="S28">
        <f t="shared" si="0"/>
        <v>91</v>
      </c>
      <c r="T28" s="141">
        <f ca="1">IFERROR(_xlfn.XLOOKUP(S28,'RMD Simulation'!AL:AL,'RMD Simulation'!AS:AS),"")</f>
        <v>42977.486808283189</v>
      </c>
      <c r="U28" s="340">
        <f>IFERROR(_xlfn.XLOOKUP(S28,'RMD Simulation'!AA:AA,'RMD Simulation'!AH:AH),"")</f>
        <v>36500.834420288906</v>
      </c>
      <c r="V28" s="340">
        <f>IFERROR(_xlfn.XLOOKUP(S28,'RMD Simulation'!P:P,'RMD Simulation'!W:W),"")</f>
        <v>37990.241514148183</v>
      </c>
    </row>
    <row r="29" spans="5:22" x14ac:dyDescent="0.2">
      <c r="E29" s="246" t="s">
        <v>111</v>
      </c>
      <c r="F29" s="357">
        <f>'Roth only'!C20</f>
        <v>0</v>
      </c>
      <c r="G29" s="358">
        <f>'Film &amp; Roth'!C24</f>
        <v>0</v>
      </c>
      <c r="H29" s="359">
        <f ca="1">MIN(MAX('Solar &amp; Roth'!C20 - H28, 0), F29)</f>
        <v>0</v>
      </c>
      <c r="I29" s="221">
        <f>'Charitable &amp; Roth'!C24</f>
        <v>0</v>
      </c>
      <c r="J29" s="359">
        <f ca="1">MIN(MAX('Solar &amp; Charitable &amp; Roth'!C58-J28,0),'Solar &amp; Charitable &amp; Roth'!C27)</f>
        <v>0</v>
      </c>
      <c r="K29" s="357">
        <f>'LEAP &amp; Roth'!J28</f>
        <v>0</v>
      </c>
      <c r="L29" s="221">
        <f>'LEAP &amp; Charitable &amp; Roth'!C65</f>
        <v>0</v>
      </c>
      <c r="S29">
        <f t="shared" si="0"/>
        <v>92</v>
      </c>
      <c r="T29" s="141">
        <f ca="1">IFERROR(_xlfn.XLOOKUP(S29,'RMD Simulation'!AL:AL,'RMD Simulation'!AS:AS),"")</f>
        <v>44708.524471394609</v>
      </c>
      <c r="U29" s="340">
        <f>IFERROR(_xlfn.XLOOKUP(S29,'RMD Simulation'!AA:AA,'RMD Simulation'!AH:AH),"")</f>
        <v>37971.006917772771</v>
      </c>
      <c r="V29" s="340">
        <f>IFERROR(_xlfn.XLOOKUP(S29,'RMD Simulation'!P:P,'RMD Simulation'!W:W),"")</f>
        <v>39520.404019579153</v>
      </c>
    </row>
    <row r="30" spans="5:22" x14ac:dyDescent="0.2">
      <c r="E30" s="179" t="s">
        <v>146</v>
      </c>
      <c r="F30" s="222">
        <f>'Roth only'!C21</f>
        <v>25500</v>
      </c>
      <c r="G30" s="222">
        <f>'Film &amp; Roth'!I42</f>
        <v>0</v>
      </c>
      <c r="H30" s="223">
        <f ca="1">'Solar &amp; Roth'!J42</f>
        <v>22811.802230329351</v>
      </c>
      <c r="I30" s="224">
        <f>'Charitable &amp; Roth'!H42</f>
        <v>25500</v>
      </c>
      <c r="J30" s="224">
        <f ca="1">'Solar &amp; Charitable &amp; Roth'!J42</f>
        <v>24450.751801462393</v>
      </c>
      <c r="K30" s="222">
        <f>'LEAP &amp; Roth'!C29</f>
        <v>25500</v>
      </c>
      <c r="L30" s="224">
        <f>'LEAP &amp; Charitable &amp; Roth'!C64</f>
        <v>25500</v>
      </c>
      <c r="S30">
        <f t="shared" si="0"/>
        <v>93</v>
      </c>
      <c r="T30" s="141">
        <f ca="1">IFERROR(_xlfn.XLOOKUP(S30,'RMD Simulation'!AL:AL,'RMD Simulation'!AS:AS),"")</f>
        <v>46417.186891786529</v>
      </c>
      <c r="U30" s="340">
        <f>IFERROR(_xlfn.XLOOKUP(S30,'RMD Simulation'!AA:AA,'RMD Simulation'!AH:AH),"")</f>
        <v>39422.176093046073</v>
      </c>
      <c r="V30" s="340">
        <f>IFERROR(_xlfn.XLOOKUP(S30,'RMD Simulation'!P:P,'RMD Simulation'!W:W),"")</f>
        <v>41030.787777159123</v>
      </c>
    </row>
    <row r="31" spans="5:22" x14ac:dyDescent="0.2">
      <c r="E31" s="170" t="s">
        <v>9</v>
      </c>
      <c r="F31" s="218">
        <v>0</v>
      </c>
      <c r="G31" s="218">
        <f>'Film &amp; Roth'!D14</f>
        <v>178947.36842105264</v>
      </c>
      <c r="H31" s="225">
        <f ca="1">'Solar &amp; Roth'!C18</f>
        <v>201426.72213729873</v>
      </c>
      <c r="I31" s="226">
        <f>'Charitable &amp; Roth'!D14</f>
        <v>85000</v>
      </c>
      <c r="J31" s="226">
        <f ca="1">'Solar &amp; Charitable &amp; Roth'!D17+'Solar &amp; Charitable &amp; Roth'!C49</f>
        <v>163613.20948282065</v>
      </c>
      <c r="K31" s="218">
        <f>'LEAP &amp; Roth'!D14+'LEAP &amp; Roth'!E14+'LEAP &amp; Roth'!D12+'LEAP &amp; Roth'!E12</f>
        <v>0</v>
      </c>
      <c r="L31" s="221">
        <f>'LEAP &amp; Charitable &amp; Roth'!C78-L19</f>
        <v>85000</v>
      </c>
      <c r="S31">
        <f t="shared" si="0"/>
        <v>94</v>
      </c>
      <c r="T31" s="141">
        <f ca="1">IFERROR(_xlfn.XLOOKUP(S31,'RMD Simulation'!AL:AL,'RMD Simulation'!AS:AS),"")</f>
        <v>47575.173554244779</v>
      </c>
      <c r="U31" s="340">
        <f>IFERROR(_xlfn.XLOOKUP(S31,'RMD Simulation'!AA:AA,'RMD Simulation'!AH:AH),"")</f>
        <v>40405.655643998907</v>
      </c>
      <c r="V31" s="340">
        <f>IFERROR(_xlfn.XLOOKUP(S31,'RMD Simulation'!P:P,'RMD Simulation'!W:W),"")</f>
        <v>42054.397956441942</v>
      </c>
    </row>
    <row r="32" spans="5:22" x14ac:dyDescent="0.2">
      <c r="E32" s="179" t="s">
        <v>93</v>
      </c>
      <c r="F32" s="222">
        <v>0</v>
      </c>
      <c r="G32" s="222">
        <v>0</v>
      </c>
      <c r="H32" s="223">
        <v>0</v>
      </c>
      <c r="I32" s="224">
        <v>0</v>
      </c>
      <c r="J32" s="224">
        <v>0</v>
      </c>
      <c r="K32" s="222">
        <f>'LEAP &amp; Roth'!D20+'LEAP &amp; Roth'!E20</f>
        <v>0</v>
      </c>
      <c r="L32" s="224">
        <f>'LEAP &amp; Charitable &amp; Roth'!C79</f>
        <v>0</v>
      </c>
      <c r="S32">
        <f t="shared" si="0"/>
        <v>95</v>
      </c>
      <c r="T32" s="141">
        <f ca="1">IFERROR(_xlfn.XLOOKUP(S32,'RMD Simulation'!AL:AL,'RMD Simulation'!AS:AS),"")</f>
        <v>48617.550952343401</v>
      </c>
      <c r="U32" s="340">
        <f>IFERROR(_xlfn.XLOOKUP(S32,'RMD Simulation'!AA:AA,'RMD Simulation'!AH:AH),"")</f>
        <v>41290.948099120244</v>
      </c>
      <c r="V32" s="340">
        <f>IFERROR(_xlfn.XLOOKUP(S32,'RMD Simulation'!P:P,'RMD Simulation'!W:W),"")</f>
        <v>42975.814540880849</v>
      </c>
    </row>
    <row r="33" spans="5:22" x14ac:dyDescent="0.2">
      <c r="E33" s="170" t="s">
        <v>199</v>
      </c>
      <c r="F33" s="218">
        <f>'Strategy comparison'!$C$12</f>
        <v>0</v>
      </c>
      <c r="G33" s="218">
        <f>'Film &amp; Roth'!D16</f>
        <v>0</v>
      </c>
      <c r="H33" s="225">
        <f>'Strategy comparison'!C12</f>
        <v>0</v>
      </c>
      <c r="I33" s="226">
        <f>'Strategy comparison'!C12</f>
        <v>0</v>
      </c>
      <c r="J33" s="226">
        <f>'Strategy comparison'!C12</f>
        <v>0</v>
      </c>
      <c r="K33" s="218">
        <f>'Strategy comparison'!C12</f>
        <v>0</v>
      </c>
      <c r="L33" s="221">
        <f>'Strategy comparison'!C12</f>
        <v>0</v>
      </c>
      <c r="S33">
        <f t="shared" si="0"/>
        <v>96</v>
      </c>
      <c r="T33" s="141">
        <f ca="1">IFERROR(_xlfn.XLOOKUP(S33,'RMD Simulation'!AL:AL,'RMD Simulation'!AS:AS),"")</f>
        <v>48924.304547637941</v>
      </c>
      <c r="U33" s="340">
        <f>IFERROR(_xlfn.XLOOKUP(S33,'RMD Simulation'!AA:AA,'RMD Simulation'!AH:AH),"")</f>
        <v>41551.474319269451</v>
      </c>
      <c r="V33" s="340">
        <f>IFERROR(_xlfn.XLOOKUP(S33,'RMD Simulation'!P:P,'RMD Simulation'!W:W),"")</f>
        <v>43246.971465960218</v>
      </c>
    </row>
    <row r="34" spans="5:22" ht="16" thickBot="1" x14ac:dyDescent="0.25">
      <c r="E34" s="179" t="s">
        <v>95</v>
      </c>
      <c r="F34" s="222">
        <f>SUM(F28:F33)</f>
        <v>262162.88</v>
      </c>
      <c r="G34" s="222">
        <f t="shared" ref="G34:L34" si="2">SUM(G28:G33)</f>
        <v>178947.36842105264</v>
      </c>
      <c r="H34" s="222">
        <f t="shared" ca="1" si="2"/>
        <v>224238.52436762807</v>
      </c>
      <c r="I34" s="222">
        <f t="shared" si="2"/>
        <v>199411.09999999998</v>
      </c>
      <c r="J34" s="222">
        <f t="shared" ca="1" si="2"/>
        <v>188063.96128428302</v>
      </c>
      <c r="K34" s="222">
        <f>SUM(K28:K33)</f>
        <v>262162.88</v>
      </c>
      <c r="L34" s="222">
        <f t="shared" si="2"/>
        <v>199411.09999999998</v>
      </c>
      <c r="S34">
        <f t="shared" si="0"/>
        <v>97</v>
      </c>
      <c r="T34" s="141">
        <f ca="1">IFERROR(_xlfn.XLOOKUP(S34,'RMD Simulation'!AL:AL,'RMD Simulation'!AS:AS),"")</f>
        <v>49664.441462589399</v>
      </c>
      <c r="U34" s="340">
        <f>IFERROR(_xlfn.XLOOKUP(S34,'RMD Simulation'!AA:AA,'RMD Simulation'!AH:AH),"")</f>
        <v>42180.073546150714</v>
      </c>
      <c r="V34" s="340">
        <f>IFERROR(_xlfn.XLOOKUP(S34,'RMD Simulation'!P:P,'RMD Simulation'!W:W),"")</f>
        <v>43901.220521470903</v>
      </c>
    </row>
    <row r="35" spans="5:22" x14ac:dyDescent="0.2">
      <c r="E35" s="180" t="s">
        <v>12</v>
      </c>
      <c r="F35" s="219">
        <f>$F20-F34</f>
        <v>-17767.460000000079</v>
      </c>
      <c r="G35" s="219">
        <f>$F20-G34</f>
        <v>65448.051578947285</v>
      </c>
      <c r="H35" s="219">
        <f ca="1">$F20-H34</f>
        <v>20156.895632371859</v>
      </c>
      <c r="I35" s="219">
        <f>$F20-I34</f>
        <v>44984.319999999949</v>
      </c>
      <c r="J35" s="219">
        <f ca="1">$F20-J34</f>
        <v>56331.458715716901</v>
      </c>
      <c r="K35" s="219">
        <f>$F20-K34+K32</f>
        <v>-17767.460000000079</v>
      </c>
      <c r="L35" s="219">
        <f>$F20-L34+L32</f>
        <v>44984.319999999949</v>
      </c>
      <c r="S35">
        <f t="shared" si="0"/>
        <v>98</v>
      </c>
      <c r="T35" s="141">
        <f ca="1">IFERROR(_xlfn.XLOOKUP(S35,'RMD Simulation'!AL:AL,'RMD Simulation'!AS:AS),"")</f>
        <v>49501.161107095955</v>
      </c>
      <c r="U35" s="340">
        <f>IFERROR(_xlfn.XLOOKUP(S35,'RMD Simulation'!AA:AA,'RMD Simulation'!AH:AH),"")</f>
        <v>42041.399331752415</v>
      </c>
      <c r="V35" s="340">
        <f>IFERROR(_xlfn.XLOOKUP(S35,'RMD Simulation'!P:P,'RMD Simulation'!W:W),"")</f>
        <v>43756.887741674283</v>
      </c>
    </row>
    <row r="36" spans="5:22" ht="16" thickBot="1" x14ac:dyDescent="0.25">
      <c r="E36" s="171" t="s">
        <v>25</v>
      </c>
      <c r="F36" s="257">
        <f>($F$20-F35)/('No planning'!$C$15+$C$2)</f>
        <v>0.30842691764705882</v>
      </c>
      <c r="G36" s="257">
        <f>($F$20-G35)/('No planning'!$C$15+$C$2)</f>
        <v>0.2105263157894737</v>
      </c>
      <c r="H36" s="257">
        <f ca="1">($F$20-H35)/('No planning'!$C$15+$C$2)</f>
        <v>0.26381002866779774</v>
      </c>
      <c r="I36" s="257">
        <f>($F$20-I35)/('No planning'!$C$15+$C$2)</f>
        <v>0.23460129411764702</v>
      </c>
      <c r="J36" s="257">
        <f ca="1">($F$20-J35)/('No planning'!$C$15+$C$2)</f>
        <v>0.22125171915798003</v>
      </c>
      <c r="K36" s="257">
        <f>($F$20-K35)/('No planning'!$C$15+$C$2)</f>
        <v>0.30842691764705882</v>
      </c>
      <c r="L36" s="257">
        <f>($F$20-L35)/('No planning'!$C$15+$C$2)</f>
        <v>0.23460129411764702</v>
      </c>
      <c r="S36">
        <f t="shared" si="0"/>
        <v>99</v>
      </c>
      <c r="T36" s="141">
        <f ca="1">IFERROR(_xlfn.XLOOKUP(S36,'RMD Simulation'!AL:AL,'RMD Simulation'!AS:AS),"")</f>
        <v>49071.66573866675</v>
      </c>
      <c r="U36" s="340">
        <f>IFERROR(_xlfn.XLOOKUP(S36,'RMD Simulation'!AA:AA,'RMD Simulation'!AH:AH),"")</f>
        <v>41676.628366962213</v>
      </c>
      <c r="V36" s="340">
        <f>IFERROR(_xlfn.XLOOKUP(S36,'RMD Simulation'!P:P,'RMD Simulation'!W:W),"")</f>
        <v>43377.232392150938</v>
      </c>
    </row>
    <row r="37" spans="5:22" x14ac:dyDescent="0.2">
      <c r="S37" t="str">
        <f t="shared" si="0"/>
        <v/>
      </c>
      <c r="U37" s="340" t="str">
        <f>IFERROR(_xlfn.XLOOKUP(S37,'RMD Simulation'!AA:AA,'RMD Simulation'!AH:AH),"")</f>
        <v/>
      </c>
      <c r="V37" s="340" t="str">
        <f>IFERROR(_xlfn.XLOOKUP(S37,'RMD Simulation'!P:P,'RMD Simulation'!W:W),"")</f>
        <v/>
      </c>
    </row>
    <row r="38" spans="5:22" ht="16" thickBot="1" x14ac:dyDescent="0.25">
      <c r="S38" t="str">
        <f t="shared" si="0"/>
        <v/>
      </c>
      <c r="U38" s="340" t="str">
        <f>IFERROR(_xlfn.XLOOKUP(S38,'RMD Simulation'!AA:AA,'RMD Simulation'!AH:AH),"")</f>
        <v/>
      </c>
      <c r="V38" s="340" t="str">
        <f>IFERROR(_xlfn.XLOOKUP(S38,'RMD Simulation'!P:P,'RMD Simulation'!W:W),"")</f>
        <v/>
      </c>
    </row>
    <row r="39" spans="5:22" ht="16" thickBot="1" x14ac:dyDescent="0.25">
      <c r="E39" s="406" t="s">
        <v>151</v>
      </c>
      <c r="F39" s="407"/>
      <c r="G39" s="407"/>
      <c r="H39" s="407"/>
      <c r="I39" s="407"/>
      <c r="J39" s="407"/>
      <c r="K39" s="407"/>
      <c r="L39" s="408"/>
      <c r="S39" t="str">
        <f t="shared" si="0"/>
        <v/>
      </c>
      <c r="U39" s="340" t="str">
        <f>IFERROR(_xlfn.XLOOKUP(S39,'RMD Simulation'!AA:AA,'RMD Simulation'!AH:AH),"")</f>
        <v/>
      </c>
      <c r="V39" s="340" t="str">
        <f>IFERROR(_xlfn.XLOOKUP(S39,'RMD Simulation'!P:P,'RMD Simulation'!W:W),"")</f>
        <v/>
      </c>
    </row>
    <row r="40" spans="5:22" ht="16" thickBot="1" x14ac:dyDescent="0.25">
      <c r="E40" s="19"/>
      <c r="F40" s="384" t="s">
        <v>8</v>
      </c>
      <c r="G40" s="383" t="s">
        <v>165</v>
      </c>
      <c r="H40" s="385" t="s">
        <v>82</v>
      </c>
      <c r="I40" s="383" t="s">
        <v>115</v>
      </c>
      <c r="J40" s="385" t="s">
        <v>116</v>
      </c>
      <c r="K40" s="383" t="s">
        <v>170</v>
      </c>
      <c r="L40" s="385" t="s">
        <v>173</v>
      </c>
      <c r="S40" t="str">
        <f t="shared" si="0"/>
        <v/>
      </c>
      <c r="U40" s="340" t="str">
        <f>IFERROR(_xlfn.XLOOKUP(S40,'RMD Simulation'!AA:AA,'RMD Simulation'!AH:AH),"")</f>
        <v/>
      </c>
      <c r="V40" s="340" t="str">
        <f>IFERROR(_xlfn.XLOOKUP(S40,'RMD Simulation'!P:P,'RMD Simulation'!W:W),"")</f>
        <v/>
      </c>
    </row>
    <row r="41" spans="5:22" x14ac:dyDescent="0.2">
      <c r="E41" s="118" t="s">
        <v>240</v>
      </c>
      <c r="F41" s="389">
        <f>F21</f>
        <v>0</v>
      </c>
      <c r="G41" s="318">
        <f t="shared" ref="G41:L41" si="3">G21</f>
        <v>15582.066315789445</v>
      </c>
      <c r="H41" s="389">
        <f t="shared" ca="1" si="3"/>
        <v>11552.554430415737</v>
      </c>
      <c r="I41" s="389">
        <f t="shared" si="3"/>
        <v>7771.7599999999802</v>
      </c>
      <c r="J41" s="318">
        <f t="shared" ca="1" si="3"/>
        <v>9164.3081910975743</v>
      </c>
      <c r="K41" s="389">
        <f t="shared" si="3"/>
        <v>-14331.679999999993</v>
      </c>
      <c r="L41" s="244">
        <f t="shared" si="3"/>
        <v>7771.7599999999802</v>
      </c>
      <c r="S41" t="str">
        <f t="shared" si="0"/>
        <v/>
      </c>
      <c r="U41" s="340" t="str">
        <f>IFERROR(_xlfn.XLOOKUP(S41,'RMD Simulation'!AA:AA,'RMD Simulation'!AH:AH),"")</f>
        <v/>
      </c>
      <c r="V41" s="340" t="str">
        <f>IFERROR(_xlfn.XLOOKUP(S41,'RMD Simulation'!P:P,'RMD Simulation'!W:W),"")</f>
        <v/>
      </c>
    </row>
    <row r="42" spans="5:22" x14ac:dyDescent="0.2">
      <c r="E42" s="291" t="s">
        <v>241</v>
      </c>
      <c r="F42" s="221">
        <f t="shared" ref="F42:L42" si="4">F35</f>
        <v>-17767.460000000079</v>
      </c>
      <c r="G42" s="247">
        <f t="shared" si="4"/>
        <v>65448.051578947285</v>
      </c>
      <c r="H42" s="221">
        <f t="shared" ca="1" si="4"/>
        <v>20156.895632371859</v>
      </c>
      <c r="I42" s="221">
        <f t="shared" si="4"/>
        <v>44984.319999999949</v>
      </c>
      <c r="J42" s="247">
        <f t="shared" ca="1" si="4"/>
        <v>56331.458715716901</v>
      </c>
      <c r="K42" s="221">
        <f t="shared" si="4"/>
        <v>-17767.460000000079</v>
      </c>
      <c r="L42" s="357">
        <f t="shared" si="4"/>
        <v>44984.319999999949</v>
      </c>
      <c r="S42" t="str">
        <f t="shared" si="0"/>
        <v/>
      </c>
      <c r="U42" s="340" t="str">
        <f>IFERROR(_xlfn.XLOOKUP(S42,'RMD Simulation'!AA:AA,'RMD Simulation'!AH:AH),"")</f>
        <v/>
      </c>
      <c r="V42" s="340" t="str">
        <f>IFERROR(_xlfn.XLOOKUP(S42,'RMD Simulation'!P:P,'RMD Simulation'!W:W),"")</f>
        <v/>
      </c>
    </row>
    <row r="43" spans="5:22" ht="16" thickBot="1" x14ac:dyDescent="0.25">
      <c r="E43" s="227" t="s">
        <v>273</v>
      </c>
      <c r="F43" s="386">
        <f t="shared" ref="F43:L43" si="5">F42-F41</f>
        <v>-17767.460000000079</v>
      </c>
      <c r="G43" s="365">
        <f t="shared" si="5"/>
        <v>49865.98526315784</v>
      </c>
      <c r="H43" s="386">
        <f t="shared" ca="1" si="5"/>
        <v>8604.3412019561219</v>
      </c>
      <c r="I43" s="386">
        <f t="shared" si="5"/>
        <v>37212.559999999969</v>
      </c>
      <c r="J43" s="365">
        <f t="shared" ca="1" si="5"/>
        <v>47167.150524619326</v>
      </c>
      <c r="K43" s="386">
        <f t="shared" si="5"/>
        <v>-3435.7800000000861</v>
      </c>
      <c r="L43" s="405">
        <f t="shared" si="5"/>
        <v>37212.559999999969</v>
      </c>
      <c r="S43" t="str">
        <f t="shared" si="0"/>
        <v/>
      </c>
      <c r="U43" s="340" t="str">
        <f>IFERROR(_xlfn.XLOOKUP(S43,'RMD Simulation'!AA:AA,'RMD Simulation'!AH:AH),"")</f>
        <v/>
      </c>
      <c r="V43" s="340" t="str">
        <f>IFERROR(_xlfn.XLOOKUP(S43,'RMD Simulation'!P:P,'RMD Simulation'!W:W),"")</f>
        <v/>
      </c>
    </row>
    <row r="44" spans="5:22" ht="16" thickBot="1" x14ac:dyDescent="0.25">
      <c r="S44" t="str">
        <f t="shared" si="0"/>
        <v/>
      </c>
      <c r="U44" s="340" t="str">
        <f>IFERROR(_xlfn.XLOOKUP(S44,'RMD Simulation'!AA:AA,'RMD Simulation'!AH:AH),"")</f>
        <v/>
      </c>
      <c r="V44" s="340" t="str">
        <f>IFERROR(_xlfn.XLOOKUP(S44,'RMD Simulation'!P:P,'RMD Simulation'!W:W),"")</f>
        <v/>
      </c>
    </row>
    <row r="45" spans="5:22" ht="16" thickBot="1" x14ac:dyDescent="0.25">
      <c r="E45" s="406" t="s">
        <v>25</v>
      </c>
      <c r="F45" s="407"/>
      <c r="G45" s="407"/>
      <c r="H45" s="407"/>
      <c r="I45" s="407"/>
      <c r="J45" s="407"/>
      <c r="K45" s="407"/>
      <c r="L45" s="408"/>
      <c r="S45" t="str">
        <f t="shared" si="0"/>
        <v/>
      </c>
      <c r="U45" s="340" t="str">
        <f>IFERROR(_xlfn.XLOOKUP(S45,'RMD Simulation'!AA:AA,'RMD Simulation'!AH:AH),"")</f>
        <v/>
      </c>
      <c r="V45" s="340" t="str">
        <f>IFERROR(_xlfn.XLOOKUP(S45,'RMD Simulation'!P:P,'RMD Simulation'!W:W),"")</f>
        <v/>
      </c>
    </row>
    <row r="46" spans="5:22" ht="16" thickBot="1" x14ac:dyDescent="0.25">
      <c r="E46" s="19"/>
      <c r="F46" s="384" t="s">
        <v>8</v>
      </c>
      <c r="G46" s="383" t="s">
        <v>165</v>
      </c>
      <c r="H46" s="385" t="s">
        <v>82</v>
      </c>
      <c r="I46" s="383" t="s">
        <v>115</v>
      </c>
      <c r="J46" s="385" t="s">
        <v>116</v>
      </c>
      <c r="K46" s="383" t="s">
        <v>170</v>
      </c>
      <c r="L46" s="385" t="s">
        <v>173</v>
      </c>
      <c r="S46" t="str">
        <f t="shared" si="0"/>
        <v/>
      </c>
      <c r="U46" s="340" t="str">
        <f>IFERROR(_xlfn.XLOOKUP(S46,'RMD Simulation'!AA:AA,'RMD Simulation'!AH:AH),"")</f>
        <v/>
      </c>
      <c r="V46" s="340" t="str">
        <f>IFERROR(_xlfn.XLOOKUP(S46,'RMD Simulation'!P:P,'RMD Simulation'!W:W),"")</f>
        <v/>
      </c>
    </row>
    <row r="47" spans="5:22" x14ac:dyDescent="0.2">
      <c r="E47" s="291" t="s">
        <v>240</v>
      </c>
      <c r="F47" s="387">
        <f>F22</f>
        <v>0.2875240235294117</v>
      </c>
      <c r="G47" s="387">
        <f t="shared" ref="G47:L47" si="6">G22</f>
        <v>0.2691921808049535</v>
      </c>
      <c r="H47" s="387">
        <f t="shared" ca="1" si="6"/>
        <v>0.27393278302304019</v>
      </c>
      <c r="I47" s="387">
        <f t="shared" si="6"/>
        <v>0.27838077647058818</v>
      </c>
      <c r="J47" s="387">
        <f t="shared" ca="1" si="6"/>
        <v>0.27674248448106159</v>
      </c>
      <c r="K47" s="387">
        <f t="shared" si="6"/>
        <v>0.30438482352941165</v>
      </c>
      <c r="L47" s="387">
        <f t="shared" si="6"/>
        <v>0.27838077647058818</v>
      </c>
      <c r="S47" t="str">
        <f t="shared" si="0"/>
        <v/>
      </c>
      <c r="U47" s="340" t="str">
        <f>IFERROR(_xlfn.XLOOKUP(S47,'RMD Simulation'!AA:AA,'RMD Simulation'!AH:AH),"")</f>
        <v/>
      </c>
      <c r="V47" s="340" t="str">
        <f>IFERROR(_xlfn.XLOOKUP(S47,'RMD Simulation'!P:P,'RMD Simulation'!W:W),"")</f>
        <v/>
      </c>
    </row>
    <row r="48" spans="5:22" ht="16" thickBot="1" x14ac:dyDescent="0.25">
      <c r="E48" s="227" t="s">
        <v>241</v>
      </c>
      <c r="F48" s="388">
        <f>F36</f>
        <v>0.30842691764705882</v>
      </c>
      <c r="G48" s="388">
        <f t="shared" ref="G48:L48" si="7">G36</f>
        <v>0.2105263157894737</v>
      </c>
      <c r="H48" s="388">
        <f t="shared" ca="1" si="7"/>
        <v>0.26381002866779774</v>
      </c>
      <c r="I48" s="388">
        <f t="shared" si="7"/>
        <v>0.23460129411764702</v>
      </c>
      <c r="J48" s="388">
        <f t="shared" ca="1" si="7"/>
        <v>0.22125171915798003</v>
      </c>
      <c r="K48" s="388">
        <f t="shared" si="7"/>
        <v>0.30842691764705882</v>
      </c>
      <c r="L48" s="388">
        <f t="shared" si="7"/>
        <v>0.23460129411764702</v>
      </c>
      <c r="S48" t="str">
        <f t="shared" si="0"/>
        <v/>
      </c>
      <c r="U48" s="340" t="str">
        <f>IFERROR(_xlfn.XLOOKUP(S48,'RMD Simulation'!AA:AA,'RMD Simulation'!AH:AH),"")</f>
        <v/>
      </c>
      <c r="V48" s="340" t="str">
        <f>IFERROR(_xlfn.XLOOKUP(S48,'RMD Simulation'!P:P,'RMD Simulation'!W:W),"")</f>
        <v/>
      </c>
    </row>
    <row r="49" spans="19:22" x14ac:dyDescent="0.2">
      <c r="S49" t="str">
        <f t="shared" si="0"/>
        <v/>
      </c>
      <c r="U49" s="340" t="str">
        <f>IFERROR(_xlfn.XLOOKUP(S49,'RMD Simulation'!AA:AA,'RMD Simulation'!AH:AH),"")</f>
        <v/>
      </c>
      <c r="V49" s="340" t="str">
        <f>IFERROR(_xlfn.XLOOKUP(S49,'RMD Simulation'!P:P,'RMD Simulation'!W:W),"")</f>
        <v/>
      </c>
    </row>
    <row r="50" spans="19:22" x14ac:dyDescent="0.2">
      <c r="S50" t="str">
        <f t="shared" si="0"/>
        <v/>
      </c>
      <c r="U50" s="340" t="str">
        <f>IFERROR(_xlfn.XLOOKUP(S50,'RMD Simulation'!AA:AA,'RMD Simulation'!AH:AH),"")</f>
        <v/>
      </c>
      <c r="V50" s="340" t="str">
        <f>IFERROR(_xlfn.XLOOKUP(S50,'RMD Simulation'!P:P,'RMD Simulation'!W:W),"")</f>
        <v/>
      </c>
    </row>
    <row r="51" spans="19:22" x14ac:dyDescent="0.2">
      <c r="S51" t="str">
        <f t="shared" si="0"/>
        <v/>
      </c>
      <c r="U51" s="340" t="str">
        <f>IFERROR(_xlfn.XLOOKUP(S51,'RMD Simulation'!AA:AA,'RMD Simulation'!AH:AH),"")</f>
        <v/>
      </c>
      <c r="V51" s="340" t="str">
        <f>IFERROR(_xlfn.XLOOKUP(S51,'RMD Simulation'!P:P,'RMD Simulation'!W:W),"")</f>
        <v/>
      </c>
    </row>
    <row r="52" spans="19:22" x14ac:dyDescent="0.2">
      <c r="S52" t="str">
        <f t="shared" si="0"/>
        <v/>
      </c>
      <c r="U52" s="340" t="str">
        <f>IFERROR(_xlfn.XLOOKUP(S52,'RMD Simulation'!AA:AA,'RMD Simulation'!AH:AH),"")</f>
        <v/>
      </c>
      <c r="V52" s="340" t="str">
        <f>IFERROR(_xlfn.XLOOKUP(S52,'RMD Simulation'!P:P,'RMD Simulation'!W:W),"")</f>
        <v/>
      </c>
    </row>
    <row r="53" spans="19:22" x14ac:dyDescent="0.2">
      <c r="S53" t="str">
        <f t="shared" si="0"/>
        <v/>
      </c>
      <c r="U53" s="340" t="str">
        <f>IFERROR(_xlfn.XLOOKUP(S53,'RMD Simulation'!AA:AA,'RMD Simulation'!AH:AH),"")</f>
        <v/>
      </c>
      <c r="V53" s="340" t="str">
        <f>IFERROR(_xlfn.XLOOKUP(S53,'RMD Simulation'!P:P,'RMD Simulation'!W:W),"")</f>
        <v/>
      </c>
    </row>
    <row r="54" spans="19:22" x14ac:dyDescent="0.2">
      <c r="S54" t="str">
        <f t="shared" si="0"/>
        <v/>
      </c>
      <c r="U54" s="340" t="str">
        <f>IFERROR(_xlfn.XLOOKUP(S54,'RMD Simulation'!AA:AA,'RMD Simulation'!AH:AH),"")</f>
        <v/>
      </c>
      <c r="V54" s="340" t="str">
        <f>IFERROR(_xlfn.XLOOKUP(S54,'RMD Simulation'!P:P,'RMD Simulation'!W:W),"")</f>
        <v/>
      </c>
    </row>
    <row r="55" spans="19:22" x14ac:dyDescent="0.2">
      <c r="S55" t="str">
        <f t="shared" si="0"/>
        <v/>
      </c>
      <c r="U55" s="340" t="str">
        <f>IFERROR(_xlfn.XLOOKUP(S55,'RMD Simulation'!AA:AA,'RMD Simulation'!AH:AH),"")</f>
        <v/>
      </c>
      <c r="V55" s="340" t="str">
        <f>IFERROR(_xlfn.XLOOKUP(S55,'RMD Simulation'!P:P,'RMD Simulation'!W:W),"")</f>
        <v/>
      </c>
    </row>
    <row r="56" spans="19:22" x14ac:dyDescent="0.2">
      <c r="S56" t="str">
        <f t="shared" si="0"/>
        <v/>
      </c>
      <c r="U56" s="340" t="str">
        <f>IFERROR(_xlfn.XLOOKUP(S56,'RMD Simulation'!AA:AA,'RMD Simulation'!AH:AH),"")</f>
        <v/>
      </c>
      <c r="V56" s="340" t="str">
        <f>IFERROR(_xlfn.XLOOKUP(S56,'RMD Simulation'!P:P,'RMD Simulation'!W:W),"")</f>
        <v/>
      </c>
    </row>
    <row r="57" spans="19:22" x14ac:dyDescent="0.2">
      <c r="S57" t="str">
        <f t="shared" si="0"/>
        <v/>
      </c>
      <c r="U57" s="340" t="str">
        <f>IFERROR(_xlfn.XLOOKUP(S57,'RMD Simulation'!AA:AA,'RMD Simulation'!AH:AH),"")</f>
        <v/>
      </c>
      <c r="V57" s="340" t="str">
        <f>IFERROR(_xlfn.XLOOKUP(S57,'RMD Simulation'!P:P,'RMD Simulation'!W:W),"")</f>
        <v/>
      </c>
    </row>
    <row r="58" spans="19:22" x14ac:dyDescent="0.2">
      <c r="S58" t="str">
        <f t="shared" si="0"/>
        <v/>
      </c>
      <c r="U58" s="340" t="str">
        <f>IFERROR(_xlfn.XLOOKUP(S58,'RMD Simulation'!AA:AA,'RMD Simulation'!AH:AH),"")</f>
        <v/>
      </c>
      <c r="V58" s="340" t="str">
        <f>IFERROR(_xlfn.XLOOKUP(S58,'RMD Simulation'!P:P,'RMD Simulation'!W:W),"")</f>
        <v/>
      </c>
    </row>
    <row r="59" spans="19:22" x14ac:dyDescent="0.2">
      <c r="S59" t="str">
        <f t="shared" si="0"/>
        <v/>
      </c>
      <c r="U59" s="340" t="str">
        <f>IFERROR(_xlfn.XLOOKUP(S59,'RMD Simulation'!AA:AA,'RMD Simulation'!AH:AH),"")</f>
        <v/>
      </c>
      <c r="V59" s="340" t="str">
        <f>IFERROR(_xlfn.XLOOKUP(S59,'RMD Simulation'!P:P,'RMD Simulation'!W:W),"")</f>
        <v/>
      </c>
    </row>
    <row r="60" spans="19:22" x14ac:dyDescent="0.2">
      <c r="S60" t="str">
        <f t="shared" si="0"/>
        <v/>
      </c>
      <c r="U60" s="340" t="str">
        <f>IFERROR(_xlfn.XLOOKUP(S60,'RMD Simulation'!AA:AA,'RMD Simulation'!AH:AH),"")</f>
        <v/>
      </c>
      <c r="V60" s="340" t="str">
        <f>IFERROR(_xlfn.XLOOKUP(S60,'RMD Simulation'!P:P,'RMD Simulation'!W:W),"")</f>
        <v/>
      </c>
    </row>
    <row r="61" spans="19:22" x14ac:dyDescent="0.2">
      <c r="S61" t="str">
        <f t="shared" si="0"/>
        <v/>
      </c>
      <c r="U61" s="340" t="str">
        <f>IFERROR(_xlfn.XLOOKUP(S61,'RMD Simulation'!AA:AA,'RMD Simulation'!AH:AH),"")</f>
        <v/>
      </c>
      <c r="V61" s="340" t="str">
        <f>IFERROR(_xlfn.XLOOKUP(S61,'RMD Simulation'!P:P,'RMD Simulation'!W:W),"")</f>
        <v/>
      </c>
    </row>
    <row r="62" spans="19:22" x14ac:dyDescent="0.2">
      <c r="S62" t="str">
        <f t="shared" si="0"/>
        <v/>
      </c>
      <c r="U62" s="340" t="str">
        <f>IFERROR(_xlfn.XLOOKUP(S62,'RMD Simulation'!AA:AA,'RMD Simulation'!AH:AH),"")</f>
        <v/>
      </c>
      <c r="V62" s="340" t="str">
        <f>IFERROR(_xlfn.XLOOKUP(S62,'RMD Simulation'!P:P,'RMD Simulation'!W:W),"")</f>
        <v/>
      </c>
    </row>
    <row r="63" spans="19:22" x14ac:dyDescent="0.2">
      <c r="S63" t="str">
        <f t="shared" si="0"/>
        <v/>
      </c>
      <c r="U63" s="340" t="str">
        <f>IFERROR(_xlfn.XLOOKUP(S63,'RMD Simulation'!AA:AA,'RMD Simulation'!AH:AH),"")</f>
        <v/>
      </c>
      <c r="V63" s="340" t="str">
        <f>IFERROR(_xlfn.XLOOKUP(S63,'RMD Simulation'!P:P,'RMD Simulation'!W:W),"")</f>
        <v/>
      </c>
    </row>
    <row r="64" spans="19:22" x14ac:dyDescent="0.2">
      <c r="S64" t="str">
        <f t="shared" si="0"/>
        <v/>
      </c>
      <c r="U64" s="340" t="str">
        <f>IFERROR(_xlfn.XLOOKUP(S64,'RMD Simulation'!AA:AA,'RMD Simulation'!AH:AH),"")</f>
        <v/>
      </c>
      <c r="V64" s="340" t="str">
        <f>IFERROR(_xlfn.XLOOKUP(S64,'RMD Simulation'!P:P,'RMD Simulation'!W:W),"")</f>
        <v/>
      </c>
    </row>
    <row r="65" spans="19:22" x14ac:dyDescent="0.2">
      <c r="S65" t="str">
        <f t="shared" si="0"/>
        <v/>
      </c>
      <c r="U65" s="340" t="str">
        <f>IFERROR(_xlfn.XLOOKUP(S65,'RMD Simulation'!AA:AA,'RMD Simulation'!AH:AH),"")</f>
        <v/>
      </c>
      <c r="V65" s="340" t="str">
        <f>IFERROR(_xlfn.XLOOKUP(S65,'RMD Simulation'!P:P,'RMD Simulation'!W:W),"")</f>
        <v/>
      </c>
    </row>
    <row r="66" spans="19:22" x14ac:dyDescent="0.2">
      <c r="S66" t="str">
        <f t="shared" si="0"/>
        <v/>
      </c>
      <c r="U66" s="340" t="str">
        <f>IFERROR(_xlfn.XLOOKUP(S66,'RMD Simulation'!AA:AA,'RMD Simulation'!AH:AH),"")</f>
        <v/>
      </c>
      <c r="V66" s="340" t="str">
        <f>IFERROR(_xlfn.XLOOKUP(S66,'RMD Simulation'!P:P,'RMD Simulation'!W:W),"")</f>
        <v/>
      </c>
    </row>
    <row r="67" spans="19:22" x14ac:dyDescent="0.2">
      <c r="S67" t="str">
        <f t="shared" si="0"/>
        <v/>
      </c>
      <c r="U67" s="340" t="str">
        <f>IFERROR(_xlfn.XLOOKUP(S67,'RMD Simulation'!AA:AA,'RMD Simulation'!AH:AH),"")</f>
        <v/>
      </c>
      <c r="V67" s="340" t="str">
        <f>IFERROR(_xlfn.XLOOKUP(S67,'RMD Simulation'!P:P,'RMD Simulation'!W:W),"")</f>
        <v/>
      </c>
    </row>
    <row r="68" spans="19:22" x14ac:dyDescent="0.2">
      <c r="S68" t="str">
        <f t="shared" ref="S68:S79" si="8">IFERROR(IF(S67+1&gt;99,"",S67+1),"")</f>
        <v/>
      </c>
      <c r="U68" s="340" t="str">
        <f>IFERROR(_xlfn.XLOOKUP(S68,'RMD Simulation'!AA:AA,'RMD Simulation'!AH:AH),"")</f>
        <v/>
      </c>
      <c r="V68" s="340" t="str">
        <f>IFERROR(_xlfn.XLOOKUP(S68,'RMD Simulation'!P:P,'RMD Simulation'!W:W),"")</f>
        <v/>
      </c>
    </row>
    <row r="69" spans="19:22" x14ac:dyDescent="0.2">
      <c r="S69" t="str">
        <f t="shared" si="8"/>
        <v/>
      </c>
      <c r="U69" s="340" t="str">
        <f>IFERROR(_xlfn.XLOOKUP(S69,'RMD Simulation'!AA:AA,'RMD Simulation'!AH:AH),"")</f>
        <v/>
      </c>
      <c r="V69" s="340" t="str">
        <f>IFERROR(_xlfn.XLOOKUP(S69,'RMD Simulation'!P:P,'RMD Simulation'!W:W),"")</f>
        <v/>
      </c>
    </row>
    <row r="70" spans="19:22" x14ac:dyDescent="0.2">
      <c r="S70" t="str">
        <f t="shared" si="8"/>
        <v/>
      </c>
      <c r="U70" s="340" t="str">
        <f>IFERROR(_xlfn.XLOOKUP(S70,'RMD Simulation'!AA:AA,'RMD Simulation'!AH:AH),"")</f>
        <v/>
      </c>
      <c r="V70" s="340" t="str">
        <f>IFERROR(_xlfn.XLOOKUP(S70,'RMD Simulation'!P:P,'RMD Simulation'!W:W),"")</f>
        <v/>
      </c>
    </row>
    <row r="71" spans="19:22" x14ac:dyDescent="0.2">
      <c r="S71" t="str">
        <f t="shared" si="8"/>
        <v/>
      </c>
      <c r="U71" s="340" t="str">
        <f>IFERROR(_xlfn.XLOOKUP(S71,'RMD Simulation'!AA:AA,'RMD Simulation'!AH:AH),"")</f>
        <v/>
      </c>
      <c r="V71" s="340" t="str">
        <f>IFERROR(_xlfn.XLOOKUP(S71,'RMD Simulation'!P:P,'RMD Simulation'!W:W),"")</f>
        <v/>
      </c>
    </row>
    <row r="72" spans="19:22" x14ac:dyDescent="0.2">
      <c r="S72" t="str">
        <f t="shared" si="8"/>
        <v/>
      </c>
      <c r="U72" s="340" t="str">
        <f>IFERROR(_xlfn.XLOOKUP(S72,'RMD Simulation'!AA:AA,'RMD Simulation'!AH:AH),"")</f>
        <v/>
      </c>
      <c r="V72" s="340" t="str">
        <f>IFERROR(_xlfn.XLOOKUP(S72,'RMD Simulation'!P:P,'RMD Simulation'!W:W),"")</f>
        <v/>
      </c>
    </row>
    <row r="73" spans="19:22" x14ac:dyDescent="0.2">
      <c r="S73" t="str">
        <f t="shared" si="8"/>
        <v/>
      </c>
      <c r="U73" s="340" t="str">
        <f>IFERROR(_xlfn.XLOOKUP(S73,'RMD Simulation'!AA:AA,'RMD Simulation'!AH:AH),"")</f>
        <v/>
      </c>
      <c r="V73" s="340" t="str">
        <f>IFERROR(_xlfn.XLOOKUP(S73,'RMD Simulation'!P:P,'RMD Simulation'!W:W),"")</f>
        <v/>
      </c>
    </row>
    <row r="74" spans="19:22" x14ac:dyDescent="0.2">
      <c r="S74" t="str">
        <f t="shared" si="8"/>
        <v/>
      </c>
      <c r="U74" s="340" t="str">
        <f>IFERROR(_xlfn.XLOOKUP(S74,'RMD Simulation'!AA:AA,'RMD Simulation'!AH:AH),"")</f>
        <v/>
      </c>
      <c r="V74" s="340" t="str">
        <f>IFERROR(_xlfn.XLOOKUP(S74,'RMD Simulation'!P:P,'RMD Simulation'!W:W),"")</f>
        <v/>
      </c>
    </row>
    <row r="75" spans="19:22" x14ac:dyDescent="0.2">
      <c r="S75" t="str">
        <f t="shared" si="8"/>
        <v/>
      </c>
      <c r="U75" s="340" t="str">
        <f>IFERROR(_xlfn.XLOOKUP(S75,'RMD Simulation'!AA:AA,'RMD Simulation'!AH:AH),"")</f>
        <v/>
      </c>
      <c r="V75" s="340" t="str">
        <f>IFERROR(_xlfn.XLOOKUP(S75,'RMD Simulation'!P:P,'RMD Simulation'!W:W),"")</f>
        <v/>
      </c>
    </row>
    <row r="76" spans="19:22" x14ac:dyDescent="0.2">
      <c r="S76" t="str">
        <f t="shared" si="8"/>
        <v/>
      </c>
      <c r="U76" s="340" t="str">
        <f>IFERROR(_xlfn.XLOOKUP(S76,'RMD Simulation'!AA:AA,'RMD Simulation'!AH:AH),"")</f>
        <v/>
      </c>
      <c r="V76" s="340" t="str">
        <f>IFERROR(_xlfn.XLOOKUP(S76,'RMD Simulation'!P:P,'RMD Simulation'!W:W),"")</f>
        <v/>
      </c>
    </row>
    <row r="77" spans="19:22" x14ac:dyDescent="0.2">
      <c r="S77" t="str">
        <f t="shared" si="8"/>
        <v/>
      </c>
      <c r="U77" s="340" t="str">
        <f>IFERROR(_xlfn.XLOOKUP(S77,'RMD Simulation'!AA:AA,'RMD Simulation'!AH:AH),"")</f>
        <v/>
      </c>
      <c r="V77" s="340" t="str">
        <f>IFERROR(_xlfn.XLOOKUP(S77,'RMD Simulation'!P:P,'RMD Simulation'!W:W),"")</f>
        <v/>
      </c>
    </row>
    <row r="78" spans="19:22" x14ac:dyDescent="0.2">
      <c r="S78" t="str">
        <f t="shared" si="8"/>
        <v/>
      </c>
      <c r="U78" s="340" t="str">
        <f>IFERROR(_xlfn.XLOOKUP(S78,'RMD Simulation'!AA:AA,'RMD Simulation'!AH:AH),"")</f>
        <v/>
      </c>
      <c r="V78" s="340" t="str">
        <f>IFERROR(_xlfn.XLOOKUP(S78,'RMD Simulation'!P:P,'RMD Simulation'!W:W),"")</f>
        <v/>
      </c>
    </row>
    <row r="79" spans="19:22" x14ac:dyDescent="0.2">
      <c r="S79" t="str">
        <f t="shared" si="8"/>
        <v/>
      </c>
      <c r="U79" s="340" t="str">
        <f>IFERROR(_xlfn.XLOOKUP(S79,'RMD Simulation'!AA:AA,'RMD Simulation'!AH:AH),"")</f>
        <v/>
      </c>
      <c r="V79" s="340" t="str">
        <f>IFERROR(_xlfn.XLOOKUP(S79,'RMD Simulation'!P:P,'RMD Simulation'!W:W),"")</f>
        <v/>
      </c>
    </row>
    <row r="80" spans="19:22" x14ac:dyDescent="0.2">
      <c r="S80" t="str">
        <f t="shared" ref="S80:S86" si="9">IFERROR(IF(S79+1&gt;100,"",S79+1),"")</f>
        <v/>
      </c>
      <c r="U80" s="340" t="str">
        <f>IFERROR(_xlfn.XLOOKUP(S80,'RMD Simulation'!AA:AA,'RMD Simulation'!AH:AH),"")</f>
        <v/>
      </c>
      <c r="V80" s="340" t="str">
        <f>IFERROR(_xlfn.XLOOKUP(S80,'RMD Simulation'!P:P,'RMD Simulation'!W:W),"")</f>
        <v/>
      </c>
    </row>
    <row r="81" spans="19:19" x14ac:dyDescent="0.2">
      <c r="S81" t="str">
        <f t="shared" si="9"/>
        <v/>
      </c>
    </row>
    <row r="82" spans="19:19" x14ac:dyDescent="0.2">
      <c r="S82" t="str">
        <f t="shared" si="9"/>
        <v/>
      </c>
    </row>
    <row r="83" spans="19:19" x14ac:dyDescent="0.2">
      <c r="S83" t="str">
        <f t="shared" si="9"/>
        <v/>
      </c>
    </row>
    <row r="84" spans="19:19" x14ac:dyDescent="0.2">
      <c r="S84" t="str">
        <f t="shared" si="9"/>
        <v/>
      </c>
    </row>
    <row r="85" spans="19:19" x14ac:dyDescent="0.2">
      <c r="S85" t="str">
        <f t="shared" si="9"/>
        <v/>
      </c>
    </row>
    <row r="86" spans="19:19" x14ac:dyDescent="0.2">
      <c r="S86" t="str">
        <f t="shared" si="9"/>
        <v/>
      </c>
    </row>
  </sheetData>
  <mergeCells count="5">
    <mergeCell ref="E39:L39"/>
    <mergeCell ref="E45:L45"/>
    <mergeCell ref="E11:L11"/>
    <mergeCell ref="E26:L26"/>
    <mergeCell ref="G2:L2"/>
  </mergeCells>
  <conditionalFormatting sqref="F21:L21">
    <cfRule type="colorScale" priority="5">
      <colorScale>
        <cfvo type="min"/>
        <cfvo type="max"/>
        <color rgb="FFFCFCFF"/>
        <color rgb="FF63BE7B"/>
      </colorScale>
    </cfRule>
  </conditionalFormatting>
  <conditionalFormatting sqref="F22:L22">
    <cfRule type="colorScale" priority="6">
      <colorScale>
        <cfvo type="min"/>
        <cfvo type="max"/>
        <color rgb="FF63BE7B"/>
        <color rgb="FFFCFCFF"/>
      </colorScale>
    </cfRule>
  </conditionalFormatting>
  <conditionalFormatting sqref="F35:L35">
    <cfRule type="colorScale" priority="3">
      <colorScale>
        <cfvo type="min"/>
        <cfvo type="max"/>
        <color rgb="FFFCFCFF"/>
        <color rgb="FF63BE7B"/>
      </colorScale>
    </cfRule>
  </conditionalFormatting>
  <conditionalFormatting sqref="F36:L36">
    <cfRule type="colorScale" priority="4">
      <colorScale>
        <cfvo type="min"/>
        <cfvo type="max"/>
        <color rgb="FF63BE7B"/>
        <color rgb="FFFCFCFF"/>
      </colorScale>
    </cfRule>
  </conditionalFormatting>
  <conditionalFormatting sqref="F41:L43">
    <cfRule type="colorScale" priority="32">
      <colorScale>
        <cfvo type="min"/>
        <cfvo type="max"/>
        <color rgb="FFFCFCFF"/>
        <color rgb="FF63BE7B"/>
      </colorScale>
    </cfRule>
  </conditionalFormatting>
  <conditionalFormatting sqref="F47:L48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BA2B5B-2C89-584D-A622-EE0BC1431089}">
          <x14:formula1>
            <xm:f>'Strategy comparison'!$F$3:$L$3</xm:f>
          </x14:formula1>
          <xm:sqref>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56BB-DBF3-5A49-BBFC-3E4CBADC7395}">
  <dimension ref="B3:Q45"/>
  <sheetViews>
    <sheetView workbookViewId="0">
      <selection activeCell="J11" sqref="J11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0" width="14" customWidth="1"/>
    <col min="11" max="11" width="14.83203125" customWidth="1"/>
    <col min="12" max="12" width="2.5" customWidth="1"/>
    <col min="13" max="13" width="14" customWidth="1"/>
    <col min="14" max="14" width="21.33203125" customWidth="1"/>
    <col min="15" max="15" width="13.1640625" customWidth="1"/>
    <col min="16" max="16" width="14" customWidth="1"/>
    <col min="17" max="17" width="14.83203125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06" t="s">
        <v>78</v>
      </c>
      <c r="C4" s="40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83" t="s">
        <v>13</v>
      </c>
      <c r="C5" s="134" t="str">
        <f>'Strategy comparison'!C4</f>
        <v>Married-Joint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9" t="s">
        <v>14</v>
      </c>
      <c r="C6" s="135">
        <f>'Strategy comparison'!C5</f>
        <v>400000</v>
      </c>
      <c r="G6" s="419" t="s">
        <v>17</v>
      </c>
      <c r="H6" s="420"/>
      <c r="I6" s="421"/>
      <c r="J6" s="131" t="s">
        <v>100</v>
      </c>
      <c r="K6" s="154" t="s">
        <v>80</v>
      </c>
      <c r="M6" s="419" t="s">
        <v>19</v>
      </c>
      <c r="N6" s="420"/>
      <c r="O6" s="421"/>
      <c r="P6" s="131" t="s">
        <v>100</v>
      </c>
      <c r="Q6" s="154" t="s">
        <v>80</v>
      </c>
    </row>
    <row r="7" spans="2:17" ht="16" thickBot="1" x14ac:dyDescent="0.25">
      <c r="B7" s="9" t="s">
        <v>15</v>
      </c>
      <c r="C7" s="135">
        <f>'Strategy comparison'!C6</f>
        <v>0</v>
      </c>
      <c r="G7" s="116"/>
      <c r="H7" s="117"/>
      <c r="I7" s="82"/>
      <c r="J7" s="142">
        <f>C12</f>
        <v>400000</v>
      </c>
      <c r="K7" s="155" t="e">
        <f>J7-MIN(C15*#REF!,J7)</f>
        <v>#REF!</v>
      </c>
      <c r="L7" s="97"/>
      <c r="M7" s="116"/>
      <c r="N7" s="117"/>
      <c r="O7" s="82"/>
      <c r="P7" s="39">
        <f>J7</f>
        <v>400000</v>
      </c>
      <c r="Q7" s="161" t="e">
        <f>K7</f>
        <v>#REF!</v>
      </c>
    </row>
    <row r="8" spans="2:17" x14ac:dyDescent="0.2">
      <c r="B8" s="9" t="s">
        <v>16</v>
      </c>
      <c r="C8" s="135">
        <f>'Strategy comparison'!C7</f>
        <v>0</v>
      </c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156" t="e">
        <f t="shared" ref="K8:K13" si="1">IF(IF(K$7&gt;H8,(H8-G8)*I8,(K$7-G8)*I8)&gt;0,IF(K$7&gt;H8,(H8-G8)*I8,(K$7-G8)*I8),0)</f>
        <v>#REF!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156" t="e">
        <f t="shared" ref="Q8:Q13" si="3">IF(IF(Q$7&gt;N8,(N8-M8)*O8,(Q$7-M8)*O8)&gt;0,IF(Q$7&gt;N8,(N8-M8)*O8,(Q$7-M8)*O8),0)</f>
        <v>#REF!</v>
      </c>
    </row>
    <row r="9" spans="2:17" x14ac:dyDescent="0.2">
      <c r="B9" s="9" t="s">
        <v>96</v>
      </c>
      <c r="C9" s="135">
        <f>'Strategy comparison'!$C$9</f>
        <v>0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57" t="e">
        <f t="shared" si="1"/>
        <v>#REF!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57" t="e">
        <f t="shared" si="3"/>
        <v>#REF!</v>
      </c>
    </row>
    <row r="10" spans="2:17" x14ac:dyDescent="0.2">
      <c r="B10" s="9" t="s">
        <v>98</v>
      </c>
      <c r="C10" s="135">
        <f>'Strategy comparison'!$C$10</f>
        <v>0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57" t="e">
        <f t="shared" si="1"/>
        <v>#REF!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57" t="e">
        <f t="shared" si="3"/>
        <v>#REF!</v>
      </c>
    </row>
    <row r="11" spans="2:17" x14ac:dyDescent="0.2">
      <c r="B11" s="9" t="s">
        <v>97</v>
      </c>
      <c r="C11" s="135">
        <f>'Strategy comparison'!$C$11</f>
        <v>0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57" t="e">
        <f t="shared" si="1"/>
        <v>#REF!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57" t="e">
        <f t="shared" si="3"/>
        <v>#REF!</v>
      </c>
    </row>
    <row r="12" spans="2:17" x14ac:dyDescent="0.2">
      <c r="B12" s="9" t="s">
        <v>100</v>
      </c>
      <c r="C12" s="135">
        <f>SUM(C6:C9)+C11</f>
        <v>400000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57" t="e">
        <f t="shared" si="1"/>
        <v>#REF!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57" t="e">
        <f t="shared" si="3"/>
        <v>#REF!</v>
      </c>
    </row>
    <row r="13" spans="2:17" x14ac:dyDescent="0.2">
      <c r="B13" s="9" t="s">
        <v>99</v>
      </c>
      <c r="C13" s="135">
        <f>'Strategy comparison'!C8</f>
        <v>0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57" t="e">
        <f t="shared" si="1"/>
        <v>#REF!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57" t="e">
        <f t="shared" si="3"/>
        <v>#REF!</v>
      </c>
    </row>
    <row r="14" spans="2:17" ht="16" thickBot="1" x14ac:dyDescent="0.25">
      <c r="B14" s="9" t="s">
        <v>101</v>
      </c>
      <c r="C14" s="135">
        <f>C13+C10</f>
        <v>0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58" t="e">
        <f>IF(K7&gt;=G14,(K7-G14)*I14,0)</f>
        <v>#REF!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58" t="e">
        <f>IF(Q7&gt;=M14,(Q7-M14)*O14,0)</f>
        <v>#REF!</v>
      </c>
    </row>
    <row r="15" spans="2:17" ht="16" thickBot="1" x14ac:dyDescent="0.25">
      <c r="B15" s="15" t="s">
        <v>18</v>
      </c>
      <c r="C15" s="140">
        <f>C12+C14</f>
        <v>400000</v>
      </c>
      <c r="G15" s="96"/>
      <c r="H15" s="97"/>
      <c r="I15" s="97"/>
      <c r="J15" s="97"/>
      <c r="K15" s="164"/>
      <c r="L15" s="97"/>
      <c r="M15" s="97"/>
      <c r="N15" s="97"/>
      <c r="O15" s="97"/>
      <c r="P15" s="97"/>
      <c r="Q15" s="166"/>
    </row>
    <row r="16" spans="2:17" ht="16" thickBot="1" x14ac:dyDescent="0.25">
      <c r="B16"/>
      <c r="G16" s="103"/>
      <c r="H16" s="97"/>
      <c r="I16" s="422" t="s">
        <v>26</v>
      </c>
      <c r="J16" s="423"/>
      <c r="K16" s="154" t="s">
        <v>38</v>
      </c>
      <c r="L16" s="96"/>
      <c r="M16" s="97"/>
      <c r="N16" s="97"/>
      <c r="O16" s="422" t="s">
        <v>26</v>
      </c>
      <c r="P16" s="423"/>
      <c r="Q16" s="154" t="s">
        <v>38</v>
      </c>
    </row>
    <row r="17" spans="2:17" ht="16" thickBot="1" x14ac:dyDescent="0.25">
      <c r="B17"/>
      <c r="C17" s="153"/>
      <c r="G17" s="105"/>
      <c r="H17" s="100"/>
      <c r="I17" s="106">
        <f>SUM(J8:J14)</f>
        <v>81195.419999999984</v>
      </c>
      <c r="J17" s="159" t="e">
        <f>SUM(K8:K14)</f>
        <v>#REF!</v>
      </c>
      <c r="K17" s="160" t="e">
        <f>I17-J17</f>
        <v>#REF!</v>
      </c>
      <c r="L17" s="101"/>
      <c r="M17" s="100"/>
      <c r="N17" s="100"/>
      <c r="O17" s="106">
        <f>SUM(P8:P14)</f>
        <v>108768</v>
      </c>
      <c r="P17" s="159" t="e">
        <f>SUM(Q8:Q14)</f>
        <v>#REF!</v>
      </c>
      <c r="Q17" s="160" t="e">
        <f>O17-P17</f>
        <v>#REF!</v>
      </c>
    </row>
    <row r="18" spans="2:17" ht="16" thickBot="1" x14ac:dyDescent="0.25">
      <c r="B18" s="424" t="s">
        <v>92</v>
      </c>
      <c r="C18" s="425"/>
      <c r="G18" s="6"/>
    </row>
    <row r="19" spans="2:17" x14ac:dyDescent="0.2">
      <c r="B19" s="9" t="s">
        <v>144</v>
      </c>
      <c r="C19" s="135">
        <f>IF(C5="Married-Joint", I17,O17)</f>
        <v>81195.419999999984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9" t="s">
        <v>145</v>
      </c>
      <c r="C20" s="135">
        <f>IF(C5="Married-Joint", I28,O28)</f>
        <v>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9" t="s">
        <v>146</v>
      </c>
      <c r="C21" s="135">
        <f>I42</f>
        <v>12000</v>
      </c>
      <c r="G21" s="419" t="s">
        <v>17</v>
      </c>
      <c r="H21" s="420"/>
      <c r="I21" s="421"/>
      <c r="J21" s="131" t="s">
        <v>108</v>
      </c>
      <c r="K21" s="154" t="s">
        <v>31</v>
      </c>
      <c r="L21" s="97"/>
      <c r="M21" s="419" t="s">
        <v>19</v>
      </c>
      <c r="N21" s="420"/>
      <c r="O21" s="421"/>
      <c r="P21" s="109" t="s">
        <v>108</v>
      </c>
      <c r="Q21" s="154" t="s">
        <v>31</v>
      </c>
    </row>
    <row r="22" spans="2:17" ht="16" thickBot="1" x14ac:dyDescent="0.25">
      <c r="B22" s="15" t="s">
        <v>90</v>
      </c>
      <c r="C22" s="140">
        <f>I45</f>
        <v>5700</v>
      </c>
      <c r="G22" s="118"/>
      <c r="H22" s="119"/>
      <c r="I22" s="120"/>
      <c r="J22" s="144">
        <f>C14</f>
        <v>0</v>
      </c>
      <c r="K22" s="162" t="e">
        <f>J22-IF((#REF!*#REF!)&gt;J7, (#REF!*#REF!)-J7,0)</f>
        <v>#REF!</v>
      </c>
      <c r="L22" s="97"/>
      <c r="M22" s="116"/>
      <c r="N22" s="117"/>
      <c r="O22" s="82"/>
      <c r="P22" s="144">
        <f>J22</f>
        <v>0</v>
      </c>
      <c r="Q22" s="162" t="e">
        <f>P22-IF((#REF!*#REF!)&gt;P7, (#REF!*#REF!)-P7,0)</f>
        <v>#REF!</v>
      </c>
    </row>
    <row r="23" spans="2:17" ht="16" thickBot="1" x14ac:dyDescent="0.25">
      <c r="B23" s="19" t="s">
        <v>197</v>
      </c>
      <c r="C23" s="337">
        <f>SUM(C19:C22)</f>
        <v>98895.419999999984</v>
      </c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163" t="e">
        <f t="shared" si="4"/>
        <v>#REF!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163" t="e">
        <f t="shared" si="5"/>
        <v>#REF!</v>
      </c>
    </row>
    <row r="24" spans="2:17" ht="16" thickBot="1" x14ac:dyDescent="0.25">
      <c r="B24"/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163" t="e">
        <f t="shared" si="4"/>
        <v>#REF!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163" t="e">
        <f t="shared" si="5"/>
        <v>#REF!</v>
      </c>
    </row>
    <row r="25" spans="2:17" ht="16" thickBot="1" x14ac:dyDescent="0.25">
      <c r="B25"/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163" t="e">
        <f t="shared" si="4"/>
        <v>#REF!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163" t="e">
        <f t="shared" si="5"/>
        <v>#REF!</v>
      </c>
    </row>
    <row r="26" spans="2:17" ht="16" thickBot="1" x14ac:dyDescent="0.25">
      <c r="B26"/>
      <c r="G26" s="96"/>
      <c r="H26" s="97"/>
      <c r="I26" s="97"/>
      <c r="J26" s="97"/>
      <c r="K26" s="155"/>
      <c r="L26" s="97"/>
      <c r="M26" s="97"/>
      <c r="N26" s="97"/>
      <c r="O26" s="97"/>
      <c r="P26" s="97"/>
      <c r="Q26" s="167"/>
    </row>
    <row r="27" spans="2:17" ht="16" thickBot="1" x14ac:dyDescent="0.25">
      <c r="B27"/>
      <c r="G27" s="96"/>
      <c r="H27" s="97"/>
      <c r="I27" s="422" t="s">
        <v>26</v>
      </c>
      <c r="J27" s="423"/>
      <c r="K27" s="164" t="s">
        <v>38</v>
      </c>
      <c r="L27" s="97"/>
      <c r="M27" s="97"/>
      <c r="N27" s="97"/>
      <c r="O27" s="422" t="s">
        <v>26</v>
      </c>
      <c r="P27" s="423"/>
      <c r="Q27" s="164" t="s">
        <v>38</v>
      </c>
    </row>
    <row r="28" spans="2:17" ht="16" thickBot="1" x14ac:dyDescent="0.25">
      <c r="B28"/>
      <c r="G28" s="101"/>
      <c r="H28" s="100"/>
      <c r="I28" s="110">
        <f>SUM(J23:J25)</f>
        <v>0</v>
      </c>
      <c r="J28" s="155" t="e">
        <f>SUM(K23:K25)</f>
        <v>#REF!</v>
      </c>
      <c r="K28" s="165" t="e">
        <f>I28-J28</f>
        <v>#REF!</v>
      </c>
      <c r="L28" s="101"/>
      <c r="M28" s="100"/>
      <c r="N28" s="100"/>
      <c r="O28" s="110">
        <f>SUM(P23:P25)</f>
        <v>0</v>
      </c>
      <c r="P28" s="155" t="e">
        <f>SUM(Q23:Q25)</f>
        <v>#REF!</v>
      </c>
      <c r="Q28" s="155" t="e">
        <f>O28-P28</f>
        <v>#REF!</v>
      </c>
    </row>
    <row r="29" spans="2:17" ht="16" thickBot="1" x14ac:dyDescent="0.25">
      <c r="B29"/>
    </row>
    <row r="30" spans="2:17" x14ac:dyDescent="0.2">
      <c r="B30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/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/>
      <c r="F32" s="145"/>
      <c r="G32" s="419" t="s">
        <v>17</v>
      </c>
      <c r="H32" s="420"/>
      <c r="I32" s="421"/>
      <c r="J32" s="7" t="s">
        <v>18</v>
      </c>
      <c r="K32" s="235" t="s">
        <v>113</v>
      </c>
      <c r="L32" s="97"/>
      <c r="M32" s="419" t="s">
        <v>19</v>
      </c>
      <c r="N32" s="420"/>
      <c r="O32" s="421"/>
      <c r="P32" s="7" t="s">
        <v>18</v>
      </c>
      <c r="Q32" s="235" t="s">
        <v>113</v>
      </c>
    </row>
    <row r="33" spans="2:17" ht="16" thickBot="1" x14ac:dyDescent="0.25">
      <c r="B33"/>
      <c r="F33" s="145"/>
      <c r="G33" s="9"/>
      <c r="J33" s="144">
        <f>C15</f>
        <v>400000</v>
      </c>
      <c r="K33" s="236" t="e">
        <f>J33-#REF!</f>
        <v>#REF!</v>
      </c>
      <c r="L33" s="97"/>
      <c r="M33" s="9"/>
      <c r="P33" s="20">
        <f>J33</f>
        <v>400000</v>
      </c>
      <c r="Q33" s="243" t="e">
        <f>P33-#REF!</f>
        <v>#REF!</v>
      </c>
    </row>
    <row r="34" spans="2:17" x14ac:dyDescent="0.2">
      <c r="B34"/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237" t="e">
        <f>IF(IF(K$33&gt;H34,(H34-G34)*I34,(K$33-G34)*I34)&gt;0,IF(K$33&gt;H34,(H34-G34)*I34,(K$33-G34)*I34),0)</f>
        <v>#REF!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237" t="e">
        <f>IF(IF(Q$33&gt;N34,(N34-M34)*O34,(Q$33-M34)*O34)&gt;0,IF(Q$33&gt;N34,(N34-M34)*O34,(Q$33-M34)*O34),0)</f>
        <v>#REF!</v>
      </c>
    </row>
    <row r="35" spans="2:17" x14ac:dyDescent="0.2">
      <c r="B35"/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238" t="e">
        <f>IF(IF(K$33&gt;H35,(H35-G35)*I35,(K$33-G35)*I35)&gt;0,IF(K$33&gt;H35,(H35-G35)*I35,(K$33-G35)*I35),0)</f>
        <v>#REF!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238" t="e">
        <f>IF(IF(Q$33&gt;N35,(N35-M35)*O35,(Q$33-M35)*O35)&gt;0,IF(Q$33&gt;N35,(N35-M35)*O35,(Q$33-M35)*O35),0)</f>
        <v>#REF!</v>
      </c>
    </row>
    <row r="36" spans="2:17" x14ac:dyDescent="0.2">
      <c r="B36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238" t="e">
        <f>IF(IF(K$33&gt;H36,(H36-G36)*I36,(K$33-G36)*I36)&gt;0,IF(K$33&gt;H36,(H36-G36)*I36,(K$33-G36)*I36),0)</f>
        <v>#REF!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238" t="e">
        <f>IF(IF(Q$33&gt;N36,(N36-M36)*O36,(Q$33-M36)*O36)&gt;0,IF(Q$33&gt;N36,(N36-M36)*O36,(Q$33-M36)*O36),0)</f>
        <v>#REF!</v>
      </c>
    </row>
    <row r="37" spans="2:17" x14ac:dyDescent="0.2">
      <c r="B37"/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238" t="e">
        <f>IF(IF(K$33&gt;H37,(H37-G37)*I37,(K$33-G37)*I37)&gt;0,IF(K$33&gt;H37,(H37-G37)*I37,(K$33-G37)*I37),0)</f>
        <v>#REF!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238" t="e">
        <f>IF(IF(Q$33&gt;N37,(N37-M37)*O37,(Q$33-M37)*O37)&gt;0,IF(Q$33&gt;N37,(N37-M37)*O37,(Q$33-M37)*O37),0)</f>
        <v>#REF!</v>
      </c>
    </row>
    <row r="38" spans="2:17" x14ac:dyDescent="0.2">
      <c r="B38"/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238" t="e">
        <f>IF(IF(K$33&gt;H38,(H38-G38)*I38,(K$33-G38)*I38)&gt;0,IF(K$33&gt;H38,(H38-G38)*I38,(K$33-G38)*I38),0)</f>
        <v>#REF!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238" t="e">
        <f>IF(IF(Q$33&gt;N38,(N38-M38)*O38,(Q$33-M38)*O38)&gt;0,IF(Q$33&gt;N38,(N38-M38)*O38,(Q$33-M38)*O38),0)</f>
        <v>#REF!</v>
      </c>
    </row>
    <row r="39" spans="2:17" ht="16" thickBot="1" x14ac:dyDescent="0.25">
      <c r="B39"/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239" t="e">
        <f>IF(K33&gt;=G39,(K33-G39)*I39,0)</f>
        <v>#REF!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239" t="e">
        <f>IF(Q33&gt;=M39,(Q33-M39)*O39,0)</f>
        <v>#REF!</v>
      </c>
    </row>
    <row r="40" spans="2:17" ht="16" thickBot="1" x14ac:dyDescent="0.25">
      <c r="B40"/>
      <c r="F40" s="141"/>
      <c r="G40" s="96"/>
      <c r="H40" s="97"/>
      <c r="I40" s="97"/>
      <c r="J40" s="97"/>
      <c r="K40" s="240"/>
      <c r="L40" s="97"/>
      <c r="M40" s="97"/>
      <c r="N40" s="97"/>
      <c r="O40" s="97"/>
      <c r="P40" s="97"/>
      <c r="Q40" s="240"/>
    </row>
    <row r="41" spans="2:17" ht="16" thickBot="1" x14ac:dyDescent="0.25">
      <c r="B41"/>
      <c r="F41" s="141"/>
      <c r="G41" s="96"/>
      <c r="H41" s="97"/>
      <c r="I41" s="422" t="s">
        <v>26</v>
      </c>
      <c r="J41" s="423"/>
      <c r="K41" s="235" t="s">
        <v>38</v>
      </c>
      <c r="L41" s="96"/>
      <c r="M41" s="97"/>
      <c r="N41" s="97"/>
      <c r="O41" s="422" t="s">
        <v>26</v>
      </c>
      <c r="P41" s="423"/>
      <c r="Q41" s="235" t="s">
        <v>38</v>
      </c>
    </row>
    <row r="42" spans="2:17" ht="16" thickBot="1" x14ac:dyDescent="0.25">
      <c r="B42"/>
      <c r="G42" s="101"/>
      <c r="H42" s="100"/>
      <c r="I42" s="106">
        <f>SUM(J34:J39)</f>
        <v>12000</v>
      </c>
      <c r="J42" s="242" t="e">
        <f>SUM(K34:K39)</f>
        <v>#REF!</v>
      </c>
      <c r="K42" s="241" t="e">
        <f>I42-J42</f>
        <v>#REF!</v>
      </c>
      <c r="L42" s="101"/>
      <c r="M42" s="100"/>
      <c r="N42" s="100"/>
      <c r="O42" s="106">
        <f>SUM(P34:P39)</f>
        <v>12000</v>
      </c>
      <c r="P42" s="242" t="e">
        <f>SUM(Q34:Q39)</f>
        <v>#REF!</v>
      </c>
      <c r="Q42" s="241" t="e">
        <f>O42-P42</f>
        <v>#REF!</v>
      </c>
    </row>
    <row r="43" spans="2:17" ht="16" thickBot="1" x14ac:dyDescent="0.25">
      <c r="B43"/>
    </row>
    <row r="44" spans="2:17" x14ac:dyDescent="0.2">
      <c r="B44"/>
      <c r="H44" s="181" t="s">
        <v>90</v>
      </c>
      <c r="I44" s="175">
        <f>'Tax Tables'!$C$34</f>
        <v>3.7999999999999999E-2</v>
      </c>
    </row>
    <row r="45" spans="2:17" ht="16" thickBot="1" x14ac:dyDescent="0.25">
      <c r="H45" s="174">
        <f>SUM(C8:C11)+C13</f>
        <v>0</v>
      </c>
      <c r="I45" s="140">
        <f>IF(C15-IF(C5="Married-Joint",250000,200000)&gt;H45,(C15-IF(C5="Married-Joint",250000,200000))*I44, H45*I44)</f>
        <v>5700</v>
      </c>
    </row>
  </sheetData>
  <scenarios current="0" sqref="H29">
    <scenario name="test1" locked="1" count="1" user="Microsoft Office User" comment="Created by Microsoft Office User on 8/21/2025">
      <inputCells r="B41" undone="1" val="14000000" numFmtId="167"/>
    </scenario>
  </scenarios>
  <mergeCells count="17">
    <mergeCell ref="B4:C4"/>
    <mergeCell ref="G4:Q4"/>
    <mergeCell ref="G6:I6"/>
    <mergeCell ref="M6:O6"/>
    <mergeCell ref="I16:J16"/>
    <mergeCell ref="O16:P16"/>
    <mergeCell ref="G32:I32"/>
    <mergeCell ref="M32:O32"/>
    <mergeCell ref="I41:J41"/>
    <mergeCell ref="O41:P41"/>
    <mergeCell ref="B18:C18"/>
    <mergeCell ref="G19:Q19"/>
    <mergeCell ref="G21:I21"/>
    <mergeCell ref="M21:O21"/>
    <mergeCell ref="I27:J27"/>
    <mergeCell ref="O27:P27"/>
    <mergeCell ref="G30:Q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6CEC-5377-8044-AB5D-028B90653C4E}">
  <dimension ref="B3:Q4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0" width="14" customWidth="1"/>
    <col min="11" max="11" width="14.83203125" customWidth="1"/>
    <col min="12" max="12" width="2.5" customWidth="1"/>
    <col min="13" max="13" width="14" customWidth="1"/>
    <col min="14" max="14" width="21.33203125" customWidth="1"/>
    <col min="15" max="15" width="13.1640625" customWidth="1"/>
    <col min="16" max="16" width="14" customWidth="1"/>
    <col min="17" max="17" width="14.83203125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06" t="s">
        <v>78</v>
      </c>
      <c r="C4" s="40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83" t="s">
        <v>13</v>
      </c>
      <c r="C5" s="134" t="str">
        <f>'Strategy comparison'!C4</f>
        <v>Married-Joint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9" t="s">
        <v>14</v>
      </c>
      <c r="C6" s="135">
        <f>'Strategy comparison'!C5+'Roth comparison'!C2</f>
        <v>850000</v>
      </c>
      <c r="G6" s="419" t="s">
        <v>17</v>
      </c>
      <c r="H6" s="420"/>
      <c r="I6" s="421"/>
      <c r="J6" s="131" t="s">
        <v>100</v>
      </c>
      <c r="K6" s="154" t="s">
        <v>80</v>
      </c>
      <c r="M6" s="419" t="s">
        <v>19</v>
      </c>
      <c r="N6" s="420"/>
      <c r="O6" s="421"/>
      <c r="P6" s="131" t="s">
        <v>100</v>
      </c>
      <c r="Q6" s="154" t="s">
        <v>80</v>
      </c>
    </row>
    <row r="7" spans="2:17" ht="16" thickBot="1" x14ac:dyDescent="0.25">
      <c r="B7" s="9" t="s">
        <v>15</v>
      </c>
      <c r="C7" s="135">
        <f>'Strategy comparison'!C6</f>
        <v>0</v>
      </c>
      <c r="G7" s="116"/>
      <c r="H7" s="117"/>
      <c r="I7" s="82"/>
      <c r="J7" s="142">
        <f>C12</f>
        <v>850000</v>
      </c>
      <c r="K7" s="155" t="e">
        <f>J7-MIN(C15*#REF!,J7)</f>
        <v>#REF!</v>
      </c>
      <c r="L7" s="97"/>
      <c r="M7" s="116"/>
      <c r="N7" s="117"/>
      <c r="O7" s="82"/>
      <c r="P7" s="39">
        <f>J7</f>
        <v>850000</v>
      </c>
      <c r="Q7" s="161" t="e">
        <f>K7</f>
        <v>#REF!</v>
      </c>
    </row>
    <row r="8" spans="2:17" x14ac:dyDescent="0.2">
      <c r="B8" s="9" t="s">
        <v>16</v>
      </c>
      <c r="C8" s="135">
        <f>'Strategy comparison'!C7</f>
        <v>0</v>
      </c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156" t="e">
        <f t="shared" ref="K8:K13" si="1">IF(IF(K$7&gt;H8,(H8-G8)*I8,(K$7-G8)*I8)&gt;0,IF(K$7&gt;H8,(H8-G8)*I8,(K$7-G8)*I8),0)</f>
        <v>#REF!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156" t="e">
        <f t="shared" ref="Q8:Q13" si="3">IF(IF(Q$7&gt;N8,(N8-M8)*O8,(Q$7-M8)*O8)&gt;0,IF(Q$7&gt;N8,(N8-M8)*O8,(Q$7-M8)*O8),0)</f>
        <v>#REF!</v>
      </c>
    </row>
    <row r="9" spans="2:17" x14ac:dyDescent="0.2">
      <c r="B9" s="9" t="s">
        <v>96</v>
      </c>
      <c r="C9" s="135">
        <f>'Strategy comparison'!$C$9</f>
        <v>0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57" t="e">
        <f t="shared" si="1"/>
        <v>#REF!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57" t="e">
        <f t="shared" si="3"/>
        <v>#REF!</v>
      </c>
    </row>
    <row r="10" spans="2:17" x14ac:dyDescent="0.2">
      <c r="B10" s="9" t="s">
        <v>98</v>
      </c>
      <c r="C10" s="135">
        <f>'Strategy comparison'!$C$10</f>
        <v>0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57" t="e">
        <f t="shared" si="1"/>
        <v>#REF!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57" t="e">
        <f t="shared" si="3"/>
        <v>#REF!</v>
      </c>
    </row>
    <row r="11" spans="2:17" x14ac:dyDescent="0.2">
      <c r="B11" s="9" t="s">
        <v>97</v>
      </c>
      <c r="C11" s="135">
        <f>'Strategy comparison'!$C$11</f>
        <v>0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46115.759999999995</v>
      </c>
      <c r="K11" s="157" t="e">
        <f t="shared" si="1"/>
        <v>#REF!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57" t="e">
        <f t="shared" si="3"/>
        <v>#REF!</v>
      </c>
    </row>
    <row r="12" spans="2:17" x14ac:dyDescent="0.2">
      <c r="B12" s="9" t="s">
        <v>100</v>
      </c>
      <c r="C12" s="135">
        <f>SUM(C6:C9)+C11</f>
        <v>850000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34847.68</v>
      </c>
      <c r="K12" s="157" t="e">
        <f t="shared" si="1"/>
        <v>#REF!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57" t="e">
        <f t="shared" si="3"/>
        <v>#REF!</v>
      </c>
    </row>
    <row r="13" spans="2:17" x14ac:dyDescent="0.2">
      <c r="B13" s="9" t="s">
        <v>99</v>
      </c>
      <c r="C13" s="135">
        <f>'Strategy comparison'!C8</f>
        <v>0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89687.15</v>
      </c>
      <c r="K13" s="157" t="e">
        <f t="shared" si="1"/>
        <v>#REF!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134530.9</v>
      </c>
      <c r="Q13" s="157" t="e">
        <f t="shared" si="3"/>
        <v>#REF!</v>
      </c>
    </row>
    <row r="14" spans="2:17" ht="16" thickBot="1" x14ac:dyDescent="0.25">
      <c r="B14" s="9" t="s">
        <v>101</v>
      </c>
      <c r="C14" s="135">
        <f>C13+C10</f>
        <v>0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30080.63</v>
      </c>
      <c r="K14" s="158" t="e">
        <f>IF(K7&gt;=G14,(K7-G14)*I14,0)</f>
        <v>#REF!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77477.63</v>
      </c>
      <c r="Q14" s="158" t="e">
        <f>IF(Q7&gt;=M14,(Q7-M14)*O14,0)</f>
        <v>#REF!</v>
      </c>
    </row>
    <row r="15" spans="2:17" ht="16" thickBot="1" x14ac:dyDescent="0.25">
      <c r="B15" s="15" t="s">
        <v>18</v>
      </c>
      <c r="C15" s="140">
        <f>C12+C14</f>
        <v>850000</v>
      </c>
      <c r="G15" s="96"/>
      <c r="H15" s="97"/>
      <c r="I15" s="97"/>
      <c r="J15" s="97"/>
      <c r="K15" s="164"/>
      <c r="L15" s="97"/>
      <c r="M15" s="97"/>
      <c r="N15" s="97"/>
      <c r="O15" s="97"/>
      <c r="P15" s="97"/>
      <c r="Q15" s="166"/>
    </row>
    <row r="16" spans="2:17" ht="16" thickBot="1" x14ac:dyDescent="0.25">
      <c r="B16"/>
      <c r="G16" s="103"/>
      <c r="H16" s="97"/>
      <c r="I16" s="422" t="s">
        <v>26</v>
      </c>
      <c r="J16" s="423"/>
      <c r="K16" s="154" t="s">
        <v>38</v>
      </c>
      <c r="L16" s="96"/>
      <c r="M16" s="97"/>
      <c r="N16" s="97"/>
      <c r="O16" s="422" t="s">
        <v>26</v>
      </c>
      <c r="P16" s="423"/>
      <c r="Q16" s="154" t="s">
        <v>38</v>
      </c>
    </row>
    <row r="17" spans="2:17" ht="16" thickBot="1" x14ac:dyDescent="0.25">
      <c r="B17"/>
      <c r="C17" s="153"/>
      <c r="G17" s="105"/>
      <c r="H17" s="100"/>
      <c r="I17" s="106">
        <f>SUM(J8:J14)</f>
        <v>236662.87999999998</v>
      </c>
      <c r="J17" s="159" t="e">
        <f>SUM(K8:K14)</f>
        <v>#REF!</v>
      </c>
      <c r="K17" s="160" t="e">
        <f>I17-J17</f>
        <v>#REF!</v>
      </c>
      <c r="L17" s="101"/>
      <c r="M17" s="100"/>
      <c r="N17" s="100"/>
      <c r="O17" s="106">
        <f>SUM(P8:P14)</f>
        <v>270455.63</v>
      </c>
      <c r="P17" s="159" t="e">
        <f>SUM(Q8:Q14)</f>
        <v>#REF!</v>
      </c>
      <c r="Q17" s="160" t="e">
        <f>O17-P17</f>
        <v>#REF!</v>
      </c>
    </row>
    <row r="18" spans="2:17" ht="16" thickBot="1" x14ac:dyDescent="0.25">
      <c r="B18" s="424" t="s">
        <v>92</v>
      </c>
      <c r="C18" s="425"/>
      <c r="G18" s="6"/>
    </row>
    <row r="19" spans="2:17" x14ac:dyDescent="0.2">
      <c r="B19" s="9" t="s">
        <v>144</v>
      </c>
      <c r="C19" s="135">
        <f>IF(C5="Married-Joint", I17,O17)</f>
        <v>236662.87999999998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9" t="s">
        <v>145</v>
      </c>
      <c r="C20" s="135">
        <f>IF(C5="Married-Joint", I28,O28)</f>
        <v>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9" t="s">
        <v>146</v>
      </c>
      <c r="C21" s="135">
        <f>I42</f>
        <v>25500</v>
      </c>
      <c r="G21" s="419" t="s">
        <v>17</v>
      </c>
      <c r="H21" s="420"/>
      <c r="I21" s="421"/>
      <c r="J21" s="131" t="s">
        <v>108</v>
      </c>
      <c r="K21" s="154" t="s">
        <v>31</v>
      </c>
      <c r="L21" s="97"/>
      <c r="M21" s="419" t="s">
        <v>19</v>
      </c>
      <c r="N21" s="420"/>
      <c r="O21" s="421"/>
      <c r="P21" s="109" t="s">
        <v>108</v>
      </c>
      <c r="Q21" s="154" t="s">
        <v>31</v>
      </c>
    </row>
    <row r="22" spans="2:17" ht="16" thickBot="1" x14ac:dyDescent="0.25">
      <c r="B22" s="15" t="s">
        <v>90</v>
      </c>
      <c r="C22" s="140">
        <f>I45</f>
        <v>22800</v>
      </c>
      <c r="G22" s="118"/>
      <c r="H22" s="119"/>
      <c r="I22" s="120"/>
      <c r="J22" s="144">
        <f>C14</f>
        <v>0</v>
      </c>
      <c r="K22" s="162" t="e">
        <f>J22-IF((#REF!*#REF!)&gt;J7, (#REF!*#REF!)-J7,0)</f>
        <v>#REF!</v>
      </c>
      <c r="L22" s="97"/>
      <c r="M22" s="116"/>
      <c r="N22" s="117"/>
      <c r="O22" s="82"/>
      <c r="P22" s="144">
        <f>J22</f>
        <v>0</v>
      </c>
      <c r="Q22" s="162" t="e">
        <f>P22-IF((#REF!*#REF!)&gt;P7, (#REF!*#REF!)-P7,0)</f>
        <v>#REF!</v>
      </c>
    </row>
    <row r="23" spans="2:17" ht="16" thickBot="1" x14ac:dyDescent="0.25">
      <c r="B23" s="19" t="s">
        <v>197</v>
      </c>
      <c r="C23" s="337">
        <f>SUM(C19:C22)</f>
        <v>284962.88</v>
      </c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163" t="e">
        <f t="shared" si="4"/>
        <v>#REF!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163" t="e">
        <f t="shared" si="5"/>
        <v>#REF!</v>
      </c>
    </row>
    <row r="24" spans="2:17" ht="16" thickBot="1" x14ac:dyDescent="0.25">
      <c r="B24"/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163" t="e">
        <f t="shared" si="4"/>
        <v>#REF!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163" t="e">
        <f t="shared" si="5"/>
        <v>#REF!</v>
      </c>
    </row>
    <row r="25" spans="2:17" ht="16" thickBot="1" x14ac:dyDescent="0.25">
      <c r="B25"/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163" t="e">
        <f t="shared" si="4"/>
        <v>#REF!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163" t="e">
        <f t="shared" si="5"/>
        <v>#REF!</v>
      </c>
    </row>
    <row r="26" spans="2:17" ht="16" thickBot="1" x14ac:dyDescent="0.25">
      <c r="B26"/>
      <c r="G26" s="96"/>
      <c r="H26" s="97"/>
      <c r="I26" s="97"/>
      <c r="J26" s="97"/>
      <c r="K26" s="155"/>
      <c r="L26" s="97"/>
      <c r="M26" s="97"/>
      <c r="N26" s="97"/>
      <c r="O26" s="97"/>
      <c r="P26" s="97"/>
      <c r="Q26" s="167"/>
    </row>
    <row r="27" spans="2:17" ht="16" thickBot="1" x14ac:dyDescent="0.25">
      <c r="B27"/>
      <c r="G27" s="96"/>
      <c r="H27" s="97"/>
      <c r="I27" s="422" t="s">
        <v>26</v>
      </c>
      <c r="J27" s="423"/>
      <c r="K27" s="164" t="s">
        <v>38</v>
      </c>
      <c r="L27" s="97"/>
      <c r="M27" s="97"/>
      <c r="N27" s="97"/>
      <c r="O27" s="422" t="s">
        <v>26</v>
      </c>
      <c r="P27" s="423"/>
      <c r="Q27" s="164" t="s">
        <v>38</v>
      </c>
    </row>
    <row r="28" spans="2:17" ht="16" thickBot="1" x14ac:dyDescent="0.25">
      <c r="B28"/>
      <c r="G28" s="101"/>
      <c r="H28" s="100"/>
      <c r="I28" s="110">
        <f>SUM(J23:J25)</f>
        <v>0</v>
      </c>
      <c r="J28" s="155" t="e">
        <f>SUM(K23:K25)</f>
        <v>#REF!</v>
      </c>
      <c r="K28" s="165" t="e">
        <f>I28-J28</f>
        <v>#REF!</v>
      </c>
      <c r="L28" s="101"/>
      <c r="M28" s="100"/>
      <c r="N28" s="100"/>
      <c r="O28" s="110">
        <f>SUM(P23:P25)</f>
        <v>0</v>
      </c>
      <c r="P28" s="155" t="e">
        <f>SUM(Q23:Q25)</f>
        <v>#REF!</v>
      </c>
      <c r="Q28" s="155" t="e">
        <f>O28-P28</f>
        <v>#REF!</v>
      </c>
    </row>
    <row r="29" spans="2:17" ht="16" thickBot="1" x14ac:dyDescent="0.25">
      <c r="B29"/>
    </row>
    <row r="30" spans="2:17" x14ac:dyDescent="0.2">
      <c r="B30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/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/>
      <c r="F32" s="145"/>
      <c r="G32" s="419" t="s">
        <v>17</v>
      </c>
      <c r="H32" s="420"/>
      <c r="I32" s="421"/>
      <c r="J32" s="7" t="s">
        <v>18</v>
      </c>
      <c r="K32" s="235" t="s">
        <v>113</v>
      </c>
      <c r="L32" s="97"/>
      <c r="M32" s="419" t="s">
        <v>19</v>
      </c>
      <c r="N32" s="420"/>
      <c r="O32" s="421"/>
      <c r="P32" s="7" t="s">
        <v>18</v>
      </c>
      <c r="Q32" s="235" t="s">
        <v>113</v>
      </c>
    </row>
    <row r="33" spans="2:17" ht="16" thickBot="1" x14ac:dyDescent="0.25">
      <c r="B33"/>
      <c r="F33" s="145"/>
      <c r="G33" s="9"/>
      <c r="J33" s="144">
        <f>C15</f>
        <v>850000</v>
      </c>
      <c r="K33" s="236" t="e">
        <f>J33-#REF!</f>
        <v>#REF!</v>
      </c>
      <c r="L33" s="97"/>
      <c r="M33" s="9"/>
      <c r="P33" s="20">
        <f>J33</f>
        <v>850000</v>
      </c>
      <c r="Q33" s="243" t="e">
        <f>P33-#REF!</f>
        <v>#REF!</v>
      </c>
    </row>
    <row r="34" spans="2:17" x14ac:dyDescent="0.2">
      <c r="B34"/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25500</v>
      </c>
      <c r="K34" s="237" t="e">
        <f>IF(IF(K$33&gt;H34,(H34-G34)*I34,(K$33-G34)*I34)&gt;0,IF(K$33&gt;H34,(H34-G34)*I34,(K$33-G34)*I34),0)</f>
        <v>#REF!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25500</v>
      </c>
      <c r="Q34" s="237" t="e">
        <f>IF(IF(Q$33&gt;N34,(N34-M34)*O34,(Q$33-M34)*O34)&gt;0,IF(Q$33&gt;N34,(N34-M34)*O34,(Q$33-M34)*O34),0)</f>
        <v>#REF!</v>
      </c>
    </row>
    <row r="35" spans="2:17" x14ac:dyDescent="0.2">
      <c r="B35"/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238" t="e">
        <f>IF(IF(K$33&gt;H35,(H35-G35)*I35,(K$33-G35)*I35)&gt;0,IF(K$33&gt;H35,(H35-G35)*I35,(K$33-G35)*I35),0)</f>
        <v>#REF!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238" t="e">
        <f>IF(IF(Q$33&gt;N35,(N35-M35)*O35,(Q$33-M35)*O35)&gt;0,IF(Q$33&gt;N35,(N35-M35)*O35,(Q$33-M35)*O35),0)</f>
        <v>#REF!</v>
      </c>
    </row>
    <row r="36" spans="2:17" x14ac:dyDescent="0.2">
      <c r="B36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238" t="e">
        <f>IF(IF(K$33&gt;H36,(H36-G36)*I36,(K$33-G36)*I36)&gt;0,IF(K$33&gt;H36,(H36-G36)*I36,(K$33-G36)*I36),0)</f>
        <v>#REF!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238" t="e">
        <f>IF(IF(Q$33&gt;N36,(N36-M36)*O36,(Q$33-M36)*O36)&gt;0,IF(Q$33&gt;N36,(N36-M36)*O36,(Q$33-M36)*O36),0)</f>
        <v>#REF!</v>
      </c>
    </row>
    <row r="37" spans="2:17" x14ac:dyDescent="0.2">
      <c r="B37"/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238" t="e">
        <f>IF(IF(K$33&gt;H37,(H37-G37)*I37,(K$33-G37)*I37)&gt;0,IF(K$33&gt;H37,(H37-G37)*I37,(K$33-G37)*I37),0)</f>
        <v>#REF!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238" t="e">
        <f>IF(IF(Q$33&gt;N37,(N37-M37)*O37,(Q$33-M37)*O37)&gt;0,IF(Q$33&gt;N37,(N37-M37)*O37,(Q$33-M37)*O37),0)</f>
        <v>#REF!</v>
      </c>
    </row>
    <row r="38" spans="2:17" x14ac:dyDescent="0.2">
      <c r="B38"/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238" t="e">
        <f>IF(IF(K$33&gt;H38,(H38-G38)*I38,(K$33-G38)*I38)&gt;0,IF(K$33&gt;H38,(H38-G38)*I38,(K$33-G38)*I38),0)</f>
        <v>#REF!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238" t="e">
        <f>IF(IF(Q$33&gt;N38,(N38-M38)*O38,(Q$33-M38)*O38)&gt;0,IF(Q$33&gt;N38,(N38-M38)*O38,(Q$33-M38)*O38),0)</f>
        <v>#REF!</v>
      </c>
    </row>
    <row r="39" spans="2:17" ht="16" thickBot="1" x14ac:dyDescent="0.25">
      <c r="B39"/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239" t="e">
        <f>IF(K33&gt;=G39,(K33-G39)*I39,0)</f>
        <v>#REF!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239" t="e">
        <f>IF(Q33&gt;=M39,(Q33-M39)*O39,0)</f>
        <v>#REF!</v>
      </c>
    </row>
    <row r="40" spans="2:17" ht="16" thickBot="1" x14ac:dyDescent="0.25">
      <c r="B40"/>
      <c r="F40" s="141"/>
      <c r="G40" s="96"/>
      <c r="H40" s="97"/>
      <c r="I40" s="97"/>
      <c r="J40" s="97"/>
      <c r="K40" s="240"/>
      <c r="L40" s="97"/>
      <c r="M40" s="97"/>
      <c r="N40" s="97"/>
      <c r="O40" s="97"/>
      <c r="P40" s="97"/>
      <c r="Q40" s="240"/>
    </row>
    <row r="41" spans="2:17" ht="16" thickBot="1" x14ac:dyDescent="0.25">
      <c r="B41"/>
      <c r="F41" s="141"/>
      <c r="G41" s="96"/>
      <c r="H41" s="97"/>
      <c r="I41" s="422" t="s">
        <v>26</v>
      </c>
      <c r="J41" s="423"/>
      <c r="K41" s="235" t="s">
        <v>38</v>
      </c>
      <c r="L41" s="96"/>
      <c r="M41" s="97"/>
      <c r="N41" s="97"/>
      <c r="O41" s="422" t="s">
        <v>26</v>
      </c>
      <c r="P41" s="423"/>
      <c r="Q41" s="235" t="s">
        <v>38</v>
      </c>
    </row>
    <row r="42" spans="2:17" ht="16" thickBot="1" x14ac:dyDescent="0.25">
      <c r="B42"/>
      <c r="G42" s="101"/>
      <c r="H42" s="100"/>
      <c r="I42" s="106">
        <f>SUM(J34:J39)</f>
        <v>25500</v>
      </c>
      <c r="J42" s="242" t="e">
        <f>SUM(K34:K39)</f>
        <v>#REF!</v>
      </c>
      <c r="K42" s="241" t="e">
        <f>I42-J42</f>
        <v>#REF!</v>
      </c>
      <c r="L42" s="101"/>
      <c r="M42" s="100"/>
      <c r="N42" s="100"/>
      <c r="O42" s="106">
        <f>SUM(P34:P39)</f>
        <v>25500</v>
      </c>
      <c r="P42" s="242" t="e">
        <f>SUM(Q34:Q39)</f>
        <v>#REF!</v>
      </c>
      <c r="Q42" s="241" t="e">
        <f>O42-P42</f>
        <v>#REF!</v>
      </c>
    </row>
    <row r="43" spans="2:17" ht="16" thickBot="1" x14ac:dyDescent="0.25">
      <c r="B43"/>
    </row>
    <row r="44" spans="2:17" x14ac:dyDescent="0.2">
      <c r="B44"/>
      <c r="H44" s="181" t="s">
        <v>90</v>
      </c>
      <c r="I44" s="175">
        <f>'Tax Tables'!$C$34</f>
        <v>3.7999999999999999E-2</v>
      </c>
    </row>
    <row r="45" spans="2:17" ht="16" thickBot="1" x14ac:dyDescent="0.25">
      <c r="H45" s="174">
        <f>SUM(C8:C11)+C13</f>
        <v>0</v>
      </c>
      <c r="I45" s="140">
        <f>IF(C15-IF(C5="Married-Joint",250000,200000)&gt;H45,(C15-IF(C5="Married-Joint",250000,200000))*I44, H45*I44)</f>
        <v>22800</v>
      </c>
    </row>
  </sheetData>
  <scenarios current="0" sqref="H29">
    <scenario name="test1" locked="1" count="1" user="Microsoft Office User" comment="Created by Microsoft Office User on 8/21/2025">
      <inputCells r="B41" undone="1" val="14000000" numFmtId="167"/>
    </scenario>
  </scenarios>
  <mergeCells count="17">
    <mergeCell ref="B4:C4"/>
    <mergeCell ref="G4:Q4"/>
    <mergeCell ref="G6:I6"/>
    <mergeCell ref="M6:O6"/>
    <mergeCell ref="I16:J16"/>
    <mergeCell ref="O16:P16"/>
    <mergeCell ref="B18:C18"/>
    <mergeCell ref="G19:Q19"/>
    <mergeCell ref="G21:I21"/>
    <mergeCell ref="M21:O21"/>
    <mergeCell ref="I27:J27"/>
    <mergeCell ref="O27:P27"/>
    <mergeCell ref="G30:Q30"/>
    <mergeCell ref="G32:I32"/>
    <mergeCell ref="M32:O32"/>
    <mergeCell ref="I41:J41"/>
    <mergeCell ref="O41:P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25AD-3BE5-7D4C-B5D9-8E50477AA45F}">
  <dimension ref="A1:AU68"/>
  <sheetViews>
    <sheetView zoomScale="140" zoomScaleNormal="140" workbookViewId="0">
      <pane ySplit="2" topLeftCell="A7" activePane="bottomLeft" state="frozen"/>
      <selection pane="bottomLeft" activeCell="B28" sqref="B28"/>
    </sheetView>
  </sheetViews>
  <sheetFormatPr baseColWidth="10" defaultColWidth="11.5" defaultRowHeight="15" x14ac:dyDescent="0.2"/>
  <cols>
    <col min="1" max="1" width="28" customWidth="1"/>
    <col min="2" max="2" width="13.6640625" bestFit="1" customWidth="1"/>
    <col min="3" max="3" width="11.1640625" bestFit="1" customWidth="1"/>
    <col min="4" max="4" width="12.5" hidden="1" customWidth="1"/>
    <col min="5" max="5" width="16.6640625" hidden="1" customWidth="1"/>
    <col min="6" max="6" width="14.33203125" hidden="1" customWidth="1"/>
    <col min="7" max="7" width="16.83203125" hidden="1" customWidth="1"/>
    <col min="8" max="8" width="18.83203125" hidden="1" customWidth="1"/>
    <col min="9" max="9" width="14.33203125" hidden="1" customWidth="1"/>
    <col min="10" max="10" width="12.5" hidden="1" customWidth="1"/>
    <col min="11" max="11" width="16.83203125" hidden="1" customWidth="1"/>
    <col min="12" max="12" width="12.5" hidden="1" customWidth="1"/>
    <col min="13" max="13" width="13.83203125" hidden="1" customWidth="1"/>
    <col min="14" max="14" width="16.83203125" hidden="1" customWidth="1"/>
    <col min="15" max="15" width="12.1640625" bestFit="1" customWidth="1"/>
    <col min="16" max="16" width="10.83203125" customWidth="1"/>
    <col min="17" max="17" width="10.83203125" style="8" customWidth="1"/>
    <col min="18" max="18" width="13" style="392" customWidth="1"/>
    <col min="19" max="19" width="30.83203125" style="141" customWidth="1"/>
    <col min="20" max="20" width="31.33203125" style="141" customWidth="1"/>
    <col min="21" max="21" width="12.6640625" style="141" customWidth="1"/>
    <col min="22" max="22" width="15.6640625" style="8" customWidth="1"/>
    <col min="23" max="23" width="12.5" style="141" customWidth="1"/>
    <col min="24" max="24" width="10.83203125" style="141" customWidth="1"/>
    <col min="25" max="25" width="15.83203125" style="141" customWidth="1"/>
    <col min="28" max="28" width="10.83203125" style="8"/>
    <col min="29" max="29" width="13" style="392" customWidth="1"/>
    <col min="30" max="30" width="30.83203125" style="141" customWidth="1"/>
    <col min="31" max="31" width="31.33203125" style="141" customWidth="1"/>
    <col min="32" max="32" width="12.6640625" style="141" customWidth="1"/>
    <col min="33" max="33" width="15.6640625" style="8" customWidth="1"/>
    <col min="34" max="34" width="12.5" style="141" customWidth="1"/>
    <col min="35" max="35" width="10.83203125" style="141"/>
    <col min="36" max="36" width="15.83203125" style="141" customWidth="1"/>
    <col min="37" max="37" width="21" customWidth="1"/>
    <col min="39" max="39" width="10.83203125" style="8"/>
    <col min="40" max="40" width="13" style="392" customWidth="1"/>
    <col min="41" max="41" width="30.83203125" style="141" customWidth="1"/>
    <col min="42" max="42" width="31.33203125" style="141" customWidth="1"/>
    <col min="43" max="43" width="12.6640625" style="141" customWidth="1"/>
    <col min="44" max="44" width="15.6640625" style="8" customWidth="1"/>
    <col min="45" max="45" width="12.5" style="141" customWidth="1"/>
    <col min="46" max="46" width="10.83203125" style="141"/>
    <col min="47" max="47" width="15.83203125" style="141" customWidth="1"/>
  </cols>
  <sheetData>
    <row r="1" spans="1:47" x14ac:dyDescent="0.2">
      <c r="A1" s="436" t="s">
        <v>258</v>
      </c>
      <c r="B1" s="436"/>
      <c r="P1" s="393" t="s">
        <v>223</v>
      </c>
      <c r="Q1" s="393"/>
      <c r="R1" s="393"/>
      <c r="S1" s="393"/>
      <c r="T1" s="393"/>
      <c r="U1" s="393"/>
      <c r="V1" s="393"/>
      <c r="W1" s="393"/>
      <c r="X1" s="393"/>
      <c r="Y1" s="393"/>
      <c r="AA1" s="393" t="s">
        <v>257</v>
      </c>
      <c r="AB1" s="393"/>
      <c r="AC1" s="393"/>
      <c r="AD1" s="393"/>
      <c r="AE1" s="393"/>
      <c r="AF1" s="393"/>
      <c r="AG1" s="393"/>
      <c r="AH1" s="393"/>
      <c r="AI1" s="393"/>
      <c r="AJ1" s="393"/>
      <c r="AL1" s="393" t="s">
        <v>254</v>
      </c>
      <c r="AM1" s="393"/>
      <c r="AN1" s="393"/>
      <c r="AO1" s="393"/>
      <c r="AP1" s="393"/>
      <c r="AQ1" s="393"/>
      <c r="AR1" s="393"/>
      <c r="AS1" s="393"/>
      <c r="AT1" s="393"/>
      <c r="AU1" s="393"/>
    </row>
    <row r="2" spans="1:47" x14ac:dyDescent="0.2">
      <c r="A2" s="436"/>
      <c r="B2" s="436"/>
      <c r="P2" t="s">
        <v>207</v>
      </c>
      <c r="Q2" s="8" t="s">
        <v>214</v>
      </c>
      <c r="R2" s="392" t="s">
        <v>248</v>
      </c>
      <c r="S2" s="141" t="s">
        <v>216</v>
      </c>
      <c r="T2" s="141" t="s">
        <v>217</v>
      </c>
      <c r="U2" s="141" t="s">
        <v>218</v>
      </c>
      <c r="V2" s="8" t="s">
        <v>215</v>
      </c>
      <c r="W2" s="141" t="s">
        <v>219</v>
      </c>
      <c r="X2" s="141" t="s">
        <v>220</v>
      </c>
      <c r="Y2" s="141" t="s">
        <v>221</v>
      </c>
      <c r="AA2" t="s">
        <v>207</v>
      </c>
      <c r="AB2" s="8" t="s">
        <v>214</v>
      </c>
      <c r="AC2" s="392" t="s">
        <v>248</v>
      </c>
      <c r="AD2" s="141" t="s">
        <v>250</v>
      </c>
      <c r="AE2" s="141" t="s">
        <v>251</v>
      </c>
      <c r="AF2" s="141" t="s">
        <v>218</v>
      </c>
      <c r="AG2" s="8" t="s">
        <v>215</v>
      </c>
      <c r="AH2" s="141" t="s">
        <v>219</v>
      </c>
      <c r="AI2" s="141" t="s">
        <v>220</v>
      </c>
      <c r="AJ2" s="141" t="s">
        <v>221</v>
      </c>
      <c r="AL2" t="s">
        <v>207</v>
      </c>
      <c r="AM2" s="8" t="s">
        <v>214</v>
      </c>
      <c r="AN2" s="392" t="s">
        <v>248</v>
      </c>
      <c r="AO2" s="141" t="s">
        <v>250</v>
      </c>
      <c r="AP2" s="141" t="s">
        <v>251</v>
      </c>
      <c r="AQ2" s="141" t="s">
        <v>218</v>
      </c>
      <c r="AR2" s="8" t="s">
        <v>215</v>
      </c>
      <c r="AS2" s="141" t="s">
        <v>219</v>
      </c>
      <c r="AT2" s="141" t="s">
        <v>220</v>
      </c>
      <c r="AU2" s="141" t="s">
        <v>221</v>
      </c>
    </row>
    <row r="3" spans="1:47" ht="16" thickBot="1" x14ac:dyDescent="0.25">
      <c r="A3" t="s">
        <v>208</v>
      </c>
      <c r="B3" s="340">
        <f>'Roth comparison'!C2</f>
        <v>450000</v>
      </c>
      <c r="P3">
        <v>35</v>
      </c>
      <c r="R3" s="392">
        <f t="shared" ref="R3:R67" si="0">IF(P3&lt;$B$9, 0, MAX(Q3,$B$10))</f>
        <v>0</v>
      </c>
      <c r="S3" s="141" t="str">
        <f>IF(P3=$B$4,$B$3,"")</f>
        <v/>
      </c>
      <c r="T3" s="141" t="str">
        <f>IFERROR((1-R3)*S3,"")</f>
        <v/>
      </c>
      <c r="U3" s="141">
        <f t="shared" ref="U3:U34" si="1">IFERROR(R3*S3,0)</f>
        <v>0</v>
      </c>
      <c r="V3" s="8">
        <f t="shared" ref="V3:V40" si="2">$B$21</f>
        <v>0.35</v>
      </c>
      <c r="W3" s="141">
        <f t="shared" ref="W3:W34" si="3">IF(P3&lt;$B$4,0,(1-V3)*U3)</f>
        <v>0</v>
      </c>
      <c r="X3" s="141" t="str">
        <f t="shared" ref="X3:X34" si="4">IF(P3&lt;$B$4,"",IF(P3=$B$4,"",IFERROR(U3*V3,0)))</f>
        <v/>
      </c>
      <c r="Y3" s="141" t="str">
        <f>IF(W3&gt;0, IF(Y2="",W3, (Y2*(1+$B$8)+W3)),"")</f>
        <v/>
      </c>
      <c r="AA3">
        <v>35</v>
      </c>
      <c r="AC3" s="392">
        <f t="shared" ref="AC3:AC66" si="5">IF(AA3&lt;$B$9, 0, MAX(AB3,$B$10))</f>
        <v>0</v>
      </c>
      <c r="AD3" s="141" t="str">
        <f>IF(AA3=$B$4,$B$16,"")</f>
        <v/>
      </c>
      <c r="AE3" s="141" t="str">
        <f>IFERROR((1-AC3)*AD3,"")</f>
        <v/>
      </c>
      <c r="AF3" s="141">
        <f>IFERROR(AC3*AD3,0)</f>
        <v>0</v>
      </c>
      <c r="AG3" s="8">
        <v>0</v>
      </c>
      <c r="AH3" s="141">
        <f t="shared" ref="AH3:AH66" si="6">IF(AA3&lt;$B$4,0,(1-AG3)*AF3)</f>
        <v>0</v>
      </c>
      <c r="AI3" s="141">
        <f>IF(AA3=$B$4,$B$14,0)</f>
        <v>0</v>
      </c>
      <c r="AJ3" s="141" t="str">
        <f>IF(AH3&gt;0, IF(AJ2="",AH3, (AJ2*(1+$B$8)+AH3)),"")</f>
        <v/>
      </c>
      <c r="AL3">
        <v>35</v>
      </c>
      <c r="AN3" s="392">
        <f t="shared" ref="AN3:AN66" si="7">IF(AL3&lt;$B$9, 0, MAX(AM3,$B$10))</f>
        <v>0</v>
      </c>
      <c r="AO3" s="141" t="str">
        <f>IF(AL3=$B$4,$B$16,"")</f>
        <v/>
      </c>
      <c r="AP3" s="141" t="str">
        <f>IFERROR((1-AN3)*AO3,"")</f>
        <v/>
      </c>
      <c r="AQ3" s="141">
        <f>IFERROR(AN3*AO3,0)</f>
        <v>0</v>
      </c>
      <c r="AR3" s="8">
        <v>0</v>
      </c>
      <c r="AS3" s="141">
        <f t="shared" ref="AS3:AS66" si="8">IF(AL3&lt;$B$4,0,(1-AR3)*AQ3)</f>
        <v>0</v>
      </c>
      <c r="AT3" s="141">
        <f>IF(AL3=$B$4,$B$14,0)</f>
        <v>0</v>
      </c>
      <c r="AU3" s="141" t="str">
        <f>IF(AS3&gt;0, IF(AU2="",AS3, (AU2*(1+$B$8)+AS3)),"")</f>
        <v/>
      </c>
    </row>
    <row r="4" spans="1:47" ht="16" thickBot="1" x14ac:dyDescent="0.25">
      <c r="A4" t="s">
        <v>207</v>
      </c>
      <c r="B4" s="341">
        <f>'Roth comparison'!C3</f>
        <v>65</v>
      </c>
      <c r="D4" s="437" t="s">
        <v>106</v>
      </c>
      <c r="E4" s="438"/>
      <c r="F4" s="438"/>
      <c r="G4" s="438"/>
      <c r="H4" s="438"/>
      <c r="I4" s="438"/>
      <c r="J4" s="438"/>
      <c r="K4" s="438"/>
      <c r="L4" s="438"/>
      <c r="M4" s="438"/>
      <c r="N4" s="439"/>
      <c r="P4">
        <v>36</v>
      </c>
      <c r="R4" s="392">
        <f t="shared" si="0"/>
        <v>0</v>
      </c>
      <c r="S4" s="141" t="str">
        <f t="shared" ref="S4:S21" si="9">IF(S3="",IF(P4=$B$4,$B$3,""),T3*(1+$B$8))</f>
        <v/>
      </c>
      <c r="T4" s="141" t="str">
        <f t="shared" ref="T4:T66" si="10">IFERROR((1-R4)*S4,"")</f>
        <v/>
      </c>
      <c r="U4" s="141">
        <f t="shared" si="1"/>
        <v>0</v>
      </c>
      <c r="V4" s="8">
        <f t="shared" si="2"/>
        <v>0.35</v>
      </c>
      <c r="W4" s="141">
        <f t="shared" si="3"/>
        <v>0</v>
      </c>
      <c r="X4" s="141" t="str">
        <f t="shared" si="4"/>
        <v/>
      </c>
      <c r="Y4" s="141" t="str">
        <f t="shared" ref="Y4:Y67" si="11">IF(W4&gt;0, IF(Y3="",W4, (Y3*(1+$B$8)+W4)),"")</f>
        <v/>
      </c>
      <c r="AA4">
        <v>36</v>
      </c>
      <c r="AC4" s="392">
        <f t="shared" si="5"/>
        <v>0</v>
      </c>
      <c r="AD4" s="141" t="str">
        <f>IF(AA4=$B$4,$B$16,IF(AD3="","",AE3*(1+$B$8)))</f>
        <v/>
      </c>
      <c r="AE4" s="141" t="str">
        <f t="shared" ref="AE4:AE24" si="12">IFERROR((1-AC4)*AD4,"")</f>
        <v/>
      </c>
      <c r="AF4" s="141">
        <f t="shared" ref="AF4:AF67" si="13">IFERROR(AC4*AD4,0)</f>
        <v>0</v>
      </c>
      <c r="AG4" s="8">
        <v>0</v>
      </c>
      <c r="AH4" s="141">
        <f t="shared" si="6"/>
        <v>0</v>
      </c>
      <c r="AI4" s="141">
        <f t="shared" ref="AI4:AI67" si="14">IF(AA4=$B$4,$B$14,0)</f>
        <v>0</v>
      </c>
      <c r="AJ4" s="141" t="str">
        <f t="shared" ref="AJ4:AJ29" si="15">IF(AH4&gt;0, IF(AJ3="",AH4, (AJ3*(1+$B$8)+AH4)),"")</f>
        <v/>
      </c>
      <c r="AL4">
        <v>36</v>
      </c>
      <c r="AN4" s="392">
        <f t="shared" si="7"/>
        <v>0</v>
      </c>
      <c r="AO4" s="141" t="str">
        <f t="shared" ref="AO4:AO67" si="16">IF(AL4=$B$4,$B$16+$B$28,IF(AO3="","",AP3*(1+$B$8)))</f>
        <v/>
      </c>
      <c r="AP4" s="141" t="str">
        <f t="shared" ref="AP4:AP24" si="17">IFERROR((1-AN4)*AO4,"")</f>
        <v/>
      </c>
      <c r="AQ4" s="141">
        <f t="shared" ref="AQ4:AQ67" si="18">IFERROR(AN4*AO4,0)</f>
        <v>0</v>
      </c>
      <c r="AR4" s="8">
        <v>0</v>
      </c>
      <c r="AS4" s="141">
        <f t="shared" si="8"/>
        <v>0</v>
      </c>
      <c r="AT4" s="141">
        <f t="shared" ref="AT4:AT67" si="19">IF(AL4=$B$4,$B$14,0)</f>
        <v>0</v>
      </c>
      <c r="AU4" s="141" t="str">
        <f t="shared" ref="AU4:AU29" si="20">IF(AS4&gt;0, IF(AU3="",AS4, (AU3*(1+$B$8)+AS4)),"")</f>
        <v/>
      </c>
    </row>
    <row r="5" spans="1:47" ht="16" thickBot="1" x14ac:dyDescent="0.25">
      <c r="A5" t="s">
        <v>209</v>
      </c>
      <c r="B5" s="340">
        <f>'No planning'!C15</f>
        <v>400000</v>
      </c>
      <c r="D5" s="96"/>
      <c r="E5" s="97"/>
      <c r="F5" s="97"/>
      <c r="G5" s="97"/>
      <c r="H5" s="97"/>
      <c r="I5" s="97"/>
      <c r="J5" s="97"/>
      <c r="K5" s="97"/>
      <c r="L5" s="97"/>
      <c r="M5" s="97"/>
      <c r="N5" s="98"/>
      <c r="P5">
        <v>37</v>
      </c>
      <c r="R5" s="392">
        <f t="shared" si="0"/>
        <v>0</v>
      </c>
      <c r="S5" s="141" t="str">
        <f t="shared" si="9"/>
        <v/>
      </c>
      <c r="T5" s="141" t="str">
        <f t="shared" si="10"/>
        <v/>
      </c>
      <c r="U5" s="141">
        <f t="shared" si="1"/>
        <v>0</v>
      </c>
      <c r="V5" s="8">
        <f t="shared" si="2"/>
        <v>0.35</v>
      </c>
      <c r="W5" s="141">
        <f t="shared" si="3"/>
        <v>0</v>
      </c>
      <c r="X5" s="141" t="str">
        <f t="shared" si="4"/>
        <v/>
      </c>
      <c r="Y5" s="141" t="str">
        <f t="shared" si="11"/>
        <v/>
      </c>
      <c r="AA5">
        <v>37</v>
      </c>
      <c r="AC5" s="392">
        <f t="shared" si="5"/>
        <v>0</v>
      </c>
      <c r="AD5" s="141" t="str">
        <f t="shared" ref="AD5:AD17" si="21">IF(AA5=$B$4,$B$16,IF(AD4="","",AE4*(1+$B$8)))</f>
        <v/>
      </c>
      <c r="AE5" s="141" t="str">
        <f t="shared" si="12"/>
        <v/>
      </c>
      <c r="AF5" s="141">
        <f t="shared" si="13"/>
        <v>0</v>
      </c>
      <c r="AG5" s="8">
        <v>0</v>
      </c>
      <c r="AH5" s="141">
        <f t="shared" si="6"/>
        <v>0</v>
      </c>
      <c r="AI5" s="141">
        <f t="shared" si="14"/>
        <v>0</v>
      </c>
      <c r="AJ5" s="141" t="str">
        <f t="shared" si="15"/>
        <v/>
      </c>
      <c r="AL5">
        <v>37</v>
      </c>
      <c r="AN5" s="392">
        <f t="shared" si="7"/>
        <v>0</v>
      </c>
      <c r="AO5" s="141" t="str">
        <f t="shared" si="16"/>
        <v/>
      </c>
      <c r="AP5" s="141" t="str">
        <f t="shared" si="17"/>
        <v/>
      </c>
      <c r="AQ5" s="141">
        <f t="shared" si="18"/>
        <v>0</v>
      </c>
      <c r="AR5" s="8">
        <v>0</v>
      </c>
      <c r="AS5" s="141">
        <f t="shared" si="8"/>
        <v>0</v>
      </c>
      <c r="AT5" s="141">
        <f t="shared" si="19"/>
        <v>0</v>
      </c>
      <c r="AU5" s="141" t="str">
        <f t="shared" si="20"/>
        <v/>
      </c>
    </row>
    <row r="6" spans="1:47" ht="16" thickBot="1" x14ac:dyDescent="0.25">
      <c r="A6" t="s">
        <v>211</v>
      </c>
      <c r="B6" s="340">
        <f>B3+B5</f>
        <v>850000</v>
      </c>
      <c r="D6" s="419" t="s">
        <v>17</v>
      </c>
      <c r="E6" s="420"/>
      <c r="F6" s="421"/>
      <c r="G6" s="7" t="s">
        <v>211</v>
      </c>
      <c r="H6" s="7" t="s">
        <v>209</v>
      </c>
      <c r="J6" s="419" t="s">
        <v>19</v>
      </c>
      <c r="K6" s="420"/>
      <c r="L6" s="421"/>
      <c r="M6" s="7" t="s">
        <v>100</v>
      </c>
      <c r="N6" s="7" t="s">
        <v>162</v>
      </c>
      <c r="P6">
        <v>38</v>
      </c>
      <c r="R6" s="392">
        <f t="shared" si="0"/>
        <v>0</v>
      </c>
      <c r="S6" s="141" t="str">
        <f t="shared" si="9"/>
        <v/>
      </c>
      <c r="T6" s="141" t="str">
        <f t="shared" si="10"/>
        <v/>
      </c>
      <c r="U6" s="141">
        <f t="shared" si="1"/>
        <v>0</v>
      </c>
      <c r="V6" s="8">
        <f t="shared" si="2"/>
        <v>0.35</v>
      </c>
      <c r="W6" s="141">
        <f t="shared" si="3"/>
        <v>0</v>
      </c>
      <c r="X6" s="141" t="str">
        <f t="shared" si="4"/>
        <v/>
      </c>
      <c r="Y6" s="141" t="str">
        <f t="shared" si="11"/>
        <v/>
      </c>
      <c r="AA6">
        <v>38</v>
      </c>
      <c r="AC6" s="392">
        <f t="shared" si="5"/>
        <v>0</v>
      </c>
      <c r="AD6" s="141" t="str">
        <f t="shared" si="21"/>
        <v/>
      </c>
      <c r="AE6" s="141" t="str">
        <f t="shared" si="12"/>
        <v/>
      </c>
      <c r="AF6" s="141">
        <f t="shared" si="13"/>
        <v>0</v>
      </c>
      <c r="AG6" s="8">
        <v>0</v>
      </c>
      <c r="AH6" s="141">
        <f t="shared" si="6"/>
        <v>0</v>
      </c>
      <c r="AI6" s="141">
        <f t="shared" si="14"/>
        <v>0</v>
      </c>
      <c r="AJ6" s="141" t="str">
        <f t="shared" si="15"/>
        <v/>
      </c>
      <c r="AL6">
        <v>38</v>
      </c>
      <c r="AN6" s="392">
        <f t="shared" si="7"/>
        <v>0</v>
      </c>
      <c r="AO6" s="141" t="str">
        <f t="shared" si="16"/>
        <v/>
      </c>
      <c r="AP6" s="141" t="str">
        <f t="shared" si="17"/>
        <v/>
      </c>
      <c r="AQ6" s="141">
        <f t="shared" si="18"/>
        <v>0</v>
      </c>
      <c r="AR6" s="8">
        <v>0</v>
      </c>
      <c r="AS6" s="141">
        <f t="shared" si="8"/>
        <v>0</v>
      </c>
      <c r="AT6" s="141">
        <f t="shared" si="19"/>
        <v>0</v>
      </c>
      <c r="AU6" s="141" t="str">
        <f t="shared" si="20"/>
        <v/>
      </c>
    </row>
    <row r="7" spans="1:47" ht="16" thickBot="1" x14ac:dyDescent="0.25">
      <c r="A7" t="s">
        <v>212</v>
      </c>
      <c r="B7" t="str">
        <f>'Strategy comparison'!C4</f>
        <v>Married-Joint</v>
      </c>
      <c r="D7" s="116"/>
      <c r="E7" s="117"/>
      <c r="F7" s="82"/>
      <c r="G7" s="69">
        <f>B6</f>
        <v>850000</v>
      </c>
      <c r="H7" s="69">
        <f>B5</f>
        <v>400000</v>
      </c>
      <c r="I7" s="97"/>
      <c r="J7" s="116"/>
      <c r="K7" s="117"/>
      <c r="L7" s="82"/>
      <c r="M7" s="233">
        <f>G7</f>
        <v>850000</v>
      </c>
      <c r="N7" s="289">
        <f>H7</f>
        <v>400000</v>
      </c>
      <c r="P7">
        <v>39</v>
      </c>
      <c r="R7" s="392">
        <f t="shared" si="0"/>
        <v>0</v>
      </c>
      <c r="S7" s="141" t="str">
        <f t="shared" si="9"/>
        <v/>
      </c>
      <c r="T7" s="141" t="str">
        <f t="shared" si="10"/>
        <v/>
      </c>
      <c r="U7" s="141">
        <f t="shared" si="1"/>
        <v>0</v>
      </c>
      <c r="V7" s="8">
        <f t="shared" si="2"/>
        <v>0.35</v>
      </c>
      <c r="W7" s="141">
        <f t="shared" si="3"/>
        <v>0</v>
      </c>
      <c r="X7" s="141" t="str">
        <f t="shared" si="4"/>
        <v/>
      </c>
      <c r="Y7" s="141" t="str">
        <f t="shared" si="11"/>
        <v/>
      </c>
      <c r="AA7">
        <v>39</v>
      </c>
      <c r="AC7" s="392">
        <f t="shared" si="5"/>
        <v>0</v>
      </c>
      <c r="AD7" s="141" t="str">
        <f t="shared" si="21"/>
        <v/>
      </c>
      <c r="AE7" s="141" t="str">
        <f t="shared" si="12"/>
        <v/>
      </c>
      <c r="AF7" s="141">
        <f t="shared" si="13"/>
        <v>0</v>
      </c>
      <c r="AG7" s="8">
        <v>0</v>
      </c>
      <c r="AH7" s="141">
        <f t="shared" si="6"/>
        <v>0</v>
      </c>
      <c r="AI7" s="141">
        <f t="shared" si="14"/>
        <v>0</v>
      </c>
      <c r="AJ7" s="141" t="str">
        <f t="shared" si="15"/>
        <v/>
      </c>
      <c r="AL7">
        <v>39</v>
      </c>
      <c r="AN7" s="392">
        <f t="shared" si="7"/>
        <v>0</v>
      </c>
      <c r="AO7" s="141" t="str">
        <f t="shared" si="16"/>
        <v/>
      </c>
      <c r="AP7" s="141" t="str">
        <f t="shared" si="17"/>
        <v/>
      </c>
      <c r="AQ7" s="141">
        <f t="shared" si="18"/>
        <v>0</v>
      </c>
      <c r="AR7" s="8">
        <v>0</v>
      </c>
      <c r="AS7" s="141">
        <f t="shared" si="8"/>
        <v>0</v>
      </c>
      <c r="AT7" s="141">
        <f t="shared" si="19"/>
        <v>0</v>
      </c>
      <c r="AU7" s="141" t="str">
        <f t="shared" si="20"/>
        <v/>
      </c>
    </row>
    <row r="8" spans="1:47" x14ac:dyDescent="0.2">
      <c r="A8" t="s">
        <v>182</v>
      </c>
      <c r="B8" s="391">
        <f>IF('Roth comparison'!C9="", 0.07,'Roth comparison'!C9)</f>
        <v>7.0000000000000007E-2</v>
      </c>
      <c r="D8" s="34">
        <f>'Tax Tables'!B6</f>
        <v>0</v>
      </c>
      <c r="E8" s="44">
        <f>'Tax Tables'!C6</f>
        <v>24800</v>
      </c>
      <c r="F8" s="10">
        <f>'Tax Tables'!D6</f>
        <v>0.1</v>
      </c>
      <c r="G8" s="38">
        <f t="shared" ref="G8:G13" si="22">IF(IF(G$7&gt;E8,(E8-D8)*F8,(G$7-D8)*F8)&gt;0,IF(G$7&gt;E8,(E8-D8)*F8,(G$7-D8)*F8),0)</f>
        <v>2480</v>
      </c>
      <c r="H8" s="38">
        <f t="shared" ref="H8:H13" si="23">IF(IF(H$7&gt;E8,(E8-D8)*F8,(H$7-D8)*F8)&gt;0,IF(H$7&gt;E8,(E8-D8)*F8,(H$7-D8)*F8),0)</f>
        <v>2480</v>
      </c>
      <c r="I8" s="97"/>
      <c r="J8" s="34">
        <f>'Tax Tables'!F6</f>
        <v>0</v>
      </c>
      <c r="K8" s="44">
        <f>'Tax Tables'!G6</f>
        <v>12400</v>
      </c>
      <c r="L8" s="10">
        <f>'Tax Tables'!H6</f>
        <v>0.1</v>
      </c>
      <c r="M8" s="38">
        <f t="shared" ref="M8:M13" si="24">IF(IF(M$7&gt;K8,(K8-J8)*L8,(M$7-J8)*L8)&gt;0,IF(M$7&gt;K8,(K8-J8)*L8,(M$7-J8)*L8),0)</f>
        <v>1240</v>
      </c>
      <c r="N8" s="38">
        <f t="shared" ref="N8:N13" si="25">IF(IF(N$7&gt;K8,(K8-J8)*L8,(N$7-J8)*L8)&gt;0,IF(N$7&gt;K8,(K8-J8)*L8,(N$7-J8)*L8),0)</f>
        <v>1240</v>
      </c>
      <c r="P8">
        <v>40</v>
      </c>
      <c r="R8" s="392">
        <f t="shared" si="0"/>
        <v>0</v>
      </c>
      <c r="S8" s="141" t="str">
        <f t="shared" si="9"/>
        <v/>
      </c>
      <c r="T8" s="141" t="str">
        <f t="shared" si="10"/>
        <v/>
      </c>
      <c r="U8" s="141">
        <f t="shared" si="1"/>
        <v>0</v>
      </c>
      <c r="V8" s="8">
        <f t="shared" si="2"/>
        <v>0.35</v>
      </c>
      <c r="W8" s="141">
        <f t="shared" si="3"/>
        <v>0</v>
      </c>
      <c r="X8" s="141" t="str">
        <f t="shared" si="4"/>
        <v/>
      </c>
      <c r="Y8" s="141" t="str">
        <f t="shared" si="11"/>
        <v/>
      </c>
      <c r="AA8">
        <v>40</v>
      </c>
      <c r="AC8" s="392">
        <f t="shared" si="5"/>
        <v>0</v>
      </c>
      <c r="AD8" s="141" t="str">
        <f t="shared" si="21"/>
        <v/>
      </c>
      <c r="AE8" s="141" t="str">
        <f t="shared" si="12"/>
        <v/>
      </c>
      <c r="AF8" s="141">
        <f t="shared" si="13"/>
        <v>0</v>
      </c>
      <c r="AG8" s="8">
        <v>0</v>
      </c>
      <c r="AH8" s="141">
        <f t="shared" si="6"/>
        <v>0</v>
      </c>
      <c r="AI8" s="141">
        <f t="shared" si="14"/>
        <v>0</v>
      </c>
      <c r="AJ8" s="141" t="str">
        <f t="shared" si="15"/>
        <v/>
      </c>
      <c r="AL8">
        <v>40</v>
      </c>
      <c r="AN8" s="392">
        <f t="shared" si="7"/>
        <v>0</v>
      </c>
      <c r="AO8" s="141" t="str">
        <f t="shared" si="16"/>
        <v/>
      </c>
      <c r="AP8" s="141" t="str">
        <f t="shared" si="17"/>
        <v/>
      </c>
      <c r="AQ8" s="141">
        <f t="shared" si="18"/>
        <v>0</v>
      </c>
      <c r="AR8" s="8">
        <v>0</v>
      </c>
      <c r="AS8" s="141">
        <f t="shared" si="8"/>
        <v>0</v>
      </c>
      <c r="AT8" s="141">
        <f t="shared" si="19"/>
        <v>0</v>
      </c>
      <c r="AU8" s="141" t="str">
        <f t="shared" si="20"/>
        <v/>
      </c>
    </row>
    <row r="9" spans="1:47" x14ac:dyDescent="0.2">
      <c r="A9" t="str">
        <f>'Roth comparison'!B4</f>
        <v>Retirement age</v>
      </c>
      <c r="B9">
        <f>'Roth comparison'!C4</f>
        <v>65</v>
      </c>
      <c r="D9" s="34">
        <f>'Tax Tables'!B7</f>
        <v>24801</v>
      </c>
      <c r="E9" s="44">
        <f>'Tax Tables'!C7</f>
        <v>100800</v>
      </c>
      <c r="F9" s="10">
        <f>'Tax Tables'!D7</f>
        <v>0.12</v>
      </c>
      <c r="G9" s="11">
        <f t="shared" si="22"/>
        <v>9119.8799999999992</v>
      </c>
      <c r="H9" s="11">
        <f t="shared" si="23"/>
        <v>9119.8799999999992</v>
      </c>
      <c r="I9" s="97"/>
      <c r="J9" s="34">
        <f>'Tax Tables'!F7</f>
        <v>12401</v>
      </c>
      <c r="K9" s="44">
        <f>'Tax Tables'!G7</f>
        <v>50400</v>
      </c>
      <c r="L9" s="10">
        <f>'Tax Tables'!H7</f>
        <v>0.12</v>
      </c>
      <c r="M9" s="11">
        <f t="shared" si="24"/>
        <v>4559.88</v>
      </c>
      <c r="N9" s="11">
        <f t="shared" si="25"/>
        <v>4559.88</v>
      </c>
      <c r="P9">
        <v>41</v>
      </c>
      <c r="R9" s="392">
        <f t="shared" si="0"/>
        <v>0</v>
      </c>
      <c r="S9" s="141" t="str">
        <f t="shared" si="9"/>
        <v/>
      </c>
      <c r="T9" s="141" t="str">
        <f t="shared" si="10"/>
        <v/>
      </c>
      <c r="U9" s="141">
        <f t="shared" si="1"/>
        <v>0</v>
      </c>
      <c r="V9" s="8">
        <f t="shared" si="2"/>
        <v>0.35</v>
      </c>
      <c r="W9" s="141">
        <f t="shared" si="3"/>
        <v>0</v>
      </c>
      <c r="X9" s="141" t="str">
        <f t="shared" si="4"/>
        <v/>
      </c>
      <c r="Y9" s="141" t="str">
        <f t="shared" si="11"/>
        <v/>
      </c>
      <c r="AA9">
        <v>41</v>
      </c>
      <c r="AC9" s="392">
        <f t="shared" si="5"/>
        <v>0</v>
      </c>
      <c r="AD9" s="141" t="str">
        <f t="shared" si="21"/>
        <v/>
      </c>
      <c r="AE9" s="141" t="str">
        <f t="shared" si="12"/>
        <v/>
      </c>
      <c r="AF9" s="141">
        <f t="shared" si="13"/>
        <v>0</v>
      </c>
      <c r="AG9" s="8">
        <v>0</v>
      </c>
      <c r="AH9" s="141">
        <f t="shared" si="6"/>
        <v>0</v>
      </c>
      <c r="AI9" s="141">
        <f t="shared" si="14"/>
        <v>0</v>
      </c>
      <c r="AJ9" s="141" t="str">
        <f t="shared" si="15"/>
        <v/>
      </c>
      <c r="AL9">
        <v>41</v>
      </c>
      <c r="AN9" s="392">
        <f t="shared" si="7"/>
        <v>0</v>
      </c>
      <c r="AO9" s="141" t="str">
        <f t="shared" si="16"/>
        <v/>
      </c>
      <c r="AP9" s="141" t="str">
        <f t="shared" si="17"/>
        <v/>
      </c>
      <c r="AQ9" s="141">
        <f t="shared" si="18"/>
        <v>0</v>
      </c>
      <c r="AR9" s="8">
        <v>0</v>
      </c>
      <c r="AS9" s="141">
        <f t="shared" si="8"/>
        <v>0</v>
      </c>
      <c r="AT9" s="141">
        <f t="shared" si="19"/>
        <v>0</v>
      </c>
      <c r="AU9" s="141" t="str">
        <f t="shared" si="20"/>
        <v/>
      </c>
    </row>
    <row r="10" spans="1:47" x14ac:dyDescent="0.2">
      <c r="A10" t="str">
        <f>'Roth comparison'!B5</f>
        <v>Minimum withdrawal rate</v>
      </c>
      <c r="B10" s="215">
        <f>'Roth comparison'!C5</f>
        <v>0.04</v>
      </c>
      <c r="D10" s="34">
        <f>'Tax Tables'!B8</f>
        <v>100801</v>
      </c>
      <c r="E10" s="44">
        <f>'Tax Tables'!C8</f>
        <v>211400</v>
      </c>
      <c r="F10" s="10">
        <f>'Tax Tables'!D8</f>
        <v>0.22</v>
      </c>
      <c r="G10" s="11">
        <f t="shared" si="22"/>
        <v>24331.78</v>
      </c>
      <c r="H10" s="11">
        <f t="shared" si="23"/>
        <v>24331.78</v>
      </c>
      <c r="I10" s="97"/>
      <c r="J10" s="34">
        <f>'Tax Tables'!F8</f>
        <v>50401</v>
      </c>
      <c r="K10" s="44">
        <f>'Tax Tables'!G8</f>
        <v>105700</v>
      </c>
      <c r="L10" s="10">
        <f>'Tax Tables'!H8</f>
        <v>0.22</v>
      </c>
      <c r="M10" s="11">
        <f t="shared" si="24"/>
        <v>12165.78</v>
      </c>
      <c r="N10" s="11">
        <f t="shared" si="25"/>
        <v>12165.78</v>
      </c>
      <c r="P10">
        <v>42</v>
      </c>
      <c r="R10" s="392">
        <f t="shared" si="0"/>
        <v>0</v>
      </c>
      <c r="S10" s="141" t="str">
        <f t="shared" si="9"/>
        <v/>
      </c>
      <c r="T10" s="141" t="str">
        <f t="shared" si="10"/>
        <v/>
      </c>
      <c r="U10" s="141">
        <f t="shared" si="1"/>
        <v>0</v>
      </c>
      <c r="V10" s="8">
        <f t="shared" si="2"/>
        <v>0.35</v>
      </c>
      <c r="W10" s="141">
        <f t="shared" si="3"/>
        <v>0</v>
      </c>
      <c r="X10" s="141" t="str">
        <f t="shared" si="4"/>
        <v/>
      </c>
      <c r="Y10" s="141" t="str">
        <f t="shared" si="11"/>
        <v/>
      </c>
      <c r="AA10">
        <v>42</v>
      </c>
      <c r="AC10" s="392">
        <f t="shared" si="5"/>
        <v>0</v>
      </c>
      <c r="AD10" s="141" t="str">
        <f t="shared" si="21"/>
        <v/>
      </c>
      <c r="AE10" s="141" t="str">
        <f t="shared" si="12"/>
        <v/>
      </c>
      <c r="AF10" s="141">
        <f t="shared" si="13"/>
        <v>0</v>
      </c>
      <c r="AG10" s="8">
        <v>0</v>
      </c>
      <c r="AH10" s="141">
        <f t="shared" si="6"/>
        <v>0</v>
      </c>
      <c r="AI10" s="141">
        <f t="shared" si="14"/>
        <v>0</v>
      </c>
      <c r="AJ10" s="141" t="str">
        <f t="shared" si="15"/>
        <v/>
      </c>
      <c r="AL10">
        <v>42</v>
      </c>
      <c r="AN10" s="392">
        <f t="shared" si="7"/>
        <v>0</v>
      </c>
      <c r="AO10" s="141" t="str">
        <f t="shared" si="16"/>
        <v/>
      </c>
      <c r="AP10" s="141" t="str">
        <f t="shared" si="17"/>
        <v/>
      </c>
      <c r="AQ10" s="141">
        <f t="shared" si="18"/>
        <v>0</v>
      </c>
      <c r="AR10" s="8">
        <v>0</v>
      </c>
      <c r="AS10" s="141">
        <f t="shared" si="8"/>
        <v>0</v>
      </c>
      <c r="AT10" s="141">
        <f t="shared" si="19"/>
        <v>0</v>
      </c>
      <c r="AU10" s="141" t="str">
        <f t="shared" si="20"/>
        <v/>
      </c>
    </row>
    <row r="11" spans="1:47" x14ac:dyDescent="0.2">
      <c r="D11" s="34">
        <f>'Tax Tables'!B9</f>
        <v>211401</v>
      </c>
      <c r="E11" s="44">
        <f>'Tax Tables'!C9</f>
        <v>403550</v>
      </c>
      <c r="F11" s="10">
        <f>'Tax Tables'!D9</f>
        <v>0.24</v>
      </c>
      <c r="G11" s="11">
        <f t="shared" si="22"/>
        <v>46115.759999999995</v>
      </c>
      <c r="H11" s="11">
        <f t="shared" si="23"/>
        <v>45263.759999999995</v>
      </c>
      <c r="I11" s="97"/>
      <c r="J11" s="34">
        <f>'Tax Tables'!F9</f>
        <v>105701</v>
      </c>
      <c r="K11" s="44">
        <f>'Tax Tables'!G9</f>
        <v>201775</v>
      </c>
      <c r="L11" s="10">
        <f>'Tax Tables'!H9</f>
        <v>0.24</v>
      </c>
      <c r="M11" s="11">
        <f t="shared" si="24"/>
        <v>23057.759999999998</v>
      </c>
      <c r="N11" s="11">
        <f t="shared" si="25"/>
        <v>23057.759999999998</v>
      </c>
      <c r="P11">
        <v>43</v>
      </c>
      <c r="R11" s="392">
        <f t="shared" si="0"/>
        <v>0</v>
      </c>
      <c r="S11" s="141" t="str">
        <f t="shared" si="9"/>
        <v/>
      </c>
      <c r="T11" s="141" t="str">
        <f t="shared" si="10"/>
        <v/>
      </c>
      <c r="U11" s="141">
        <f t="shared" si="1"/>
        <v>0</v>
      </c>
      <c r="V11" s="8">
        <f t="shared" si="2"/>
        <v>0.35</v>
      </c>
      <c r="W11" s="141">
        <f t="shared" si="3"/>
        <v>0</v>
      </c>
      <c r="X11" s="141" t="str">
        <f t="shared" si="4"/>
        <v/>
      </c>
      <c r="Y11" s="141" t="str">
        <f t="shared" si="11"/>
        <v/>
      </c>
      <c r="AA11">
        <v>43</v>
      </c>
      <c r="AC11" s="392">
        <f t="shared" si="5"/>
        <v>0</v>
      </c>
      <c r="AD11" s="141" t="str">
        <f t="shared" si="21"/>
        <v/>
      </c>
      <c r="AE11" s="141" t="str">
        <f t="shared" si="12"/>
        <v/>
      </c>
      <c r="AF11" s="141">
        <f t="shared" si="13"/>
        <v>0</v>
      </c>
      <c r="AG11" s="8">
        <v>0</v>
      </c>
      <c r="AH11" s="141">
        <f t="shared" si="6"/>
        <v>0</v>
      </c>
      <c r="AI11" s="141">
        <f t="shared" si="14"/>
        <v>0</v>
      </c>
      <c r="AJ11" s="141" t="str">
        <f t="shared" si="15"/>
        <v/>
      </c>
      <c r="AL11">
        <v>43</v>
      </c>
      <c r="AN11" s="392">
        <f t="shared" si="7"/>
        <v>0</v>
      </c>
      <c r="AO11" s="141" t="str">
        <f t="shared" si="16"/>
        <v/>
      </c>
      <c r="AP11" s="141" t="str">
        <f t="shared" si="17"/>
        <v/>
      </c>
      <c r="AQ11" s="141">
        <f t="shared" si="18"/>
        <v>0</v>
      </c>
      <c r="AR11" s="8">
        <v>0</v>
      </c>
      <c r="AS11" s="141">
        <f t="shared" si="8"/>
        <v>0</v>
      </c>
      <c r="AT11" s="141">
        <f t="shared" si="19"/>
        <v>0</v>
      </c>
      <c r="AU11" s="141" t="str">
        <f t="shared" si="20"/>
        <v/>
      </c>
    </row>
    <row r="12" spans="1:47" x14ac:dyDescent="0.2">
      <c r="A12" t="s">
        <v>229</v>
      </c>
      <c r="B12" s="141">
        <f>IF(B7="Married-Joint", H17,IF(B7="Single",N17,"Filing status?"))</f>
        <v>155467.46</v>
      </c>
      <c r="D12" s="34">
        <f>'Tax Tables'!B10</f>
        <v>403551</v>
      </c>
      <c r="E12" s="44">
        <f>'Tax Tables'!C10</f>
        <v>512450</v>
      </c>
      <c r="F12" s="10">
        <f>'Tax Tables'!D10</f>
        <v>0.32</v>
      </c>
      <c r="G12" s="11">
        <f t="shared" si="22"/>
        <v>34847.68</v>
      </c>
      <c r="H12" s="11">
        <f t="shared" si="23"/>
        <v>0</v>
      </c>
      <c r="I12" s="97"/>
      <c r="J12" s="34">
        <f>'Tax Tables'!F10</f>
        <v>201776</v>
      </c>
      <c r="K12" s="44">
        <f>'Tax Tables'!G10</f>
        <v>256225</v>
      </c>
      <c r="L12" s="10">
        <f>'Tax Tables'!H10</f>
        <v>0.32</v>
      </c>
      <c r="M12" s="11">
        <f t="shared" si="24"/>
        <v>17423.68</v>
      </c>
      <c r="N12" s="11">
        <f t="shared" si="25"/>
        <v>17423.68</v>
      </c>
      <c r="P12">
        <v>44</v>
      </c>
      <c r="R12" s="392">
        <f t="shared" si="0"/>
        <v>0</v>
      </c>
      <c r="S12" s="141" t="str">
        <f t="shared" si="9"/>
        <v/>
      </c>
      <c r="T12" s="141" t="str">
        <f t="shared" si="10"/>
        <v/>
      </c>
      <c r="U12" s="141">
        <f t="shared" si="1"/>
        <v>0</v>
      </c>
      <c r="V12" s="8">
        <f t="shared" si="2"/>
        <v>0.35</v>
      </c>
      <c r="W12" s="141">
        <f t="shared" si="3"/>
        <v>0</v>
      </c>
      <c r="X12" s="141" t="str">
        <f t="shared" si="4"/>
        <v/>
      </c>
      <c r="Y12" s="141" t="str">
        <f t="shared" si="11"/>
        <v/>
      </c>
      <c r="AA12">
        <v>44</v>
      </c>
      <c r="AC12" s="392">
        <f t="shared" si="5"/>
        <v>0</v>
      </c>
      <c r="AD12" s="141" t="str">
        <f t="shared" si="21"/>
        <v/>
      </c>
      <c r="AE12" s="141" t="str">
        <f t="shared" si="12"/>
        <v/>
      </c>
      <c r="AF12" s="141">
        <f t="shared" si="13"/>
        <v>0</v>
      </c>
      <c r="AG12" s="8">
        <v>0</v>
      </c>
      <c r="AH12" s="141">
        <f t="shared" si="6"/>
        <v>0</v>
      </c>
      <c r="AI12" s="141">
        <f t="shared" si="14"/>
        <v>0</v>
      </c>
      <c r="AJ12" s="141" t="str">
        <f t="shared" si="15"/>
        <v/>
      </c>
      <c r="AL12">
        <v>44</v>
      </c>
      <c r="AN12" s="392">
        <f t="shared" si="7"/>
        <v>0</v>
      </c>
      <c r="AO12" s="141" t="str">
        <f t="shared" si="16"/>
        <v/>
      </c>
      <c r="AP12" s="141" t="str">
        <f t="shared" si="17"/>
        <v/>
      </c>
      <c r="AQ12" s="141">
        <f t="shared" si="18"/>
        <v>0</v>
      </c>
      <c r="AR12" s="8">
        <v>0</v>
      </c>
      <c r="AS12" s="141">
        <f t="shared" si="8"/>
        <v>0</v>
      </c>
      <c r="AT12" s="141">
        <f t="shared" si="19"/>
        <v>0</v>
      </c>
      <c r="AU12" s="141" t="str">
        <f t="shared" si="20"/>
        <v/>
      </c>
    </row>
    <row r="13" spans="1:47" x14ac:dyDescent="0.2">
      <c r="A13" t="s">
        <v>230</v>
      </c>
      <c r="B13" s="141">
        <f>IF(B7="Married-Joint", H32,IF(B7="Single",N32,"Filing status?"))</f>
        <v>13500</v>
      </c>
      <c r="D13" s="34">
        <f>'Tax Tables'!B11</f>
        <v>512451</v>
      </c>
      <c r="E13" s="44">
        <f>'Tax Tables'!C11</f>
        <v>768700</v>
      </c>
      <c r="F13" s="10">
        <f>'Tax Tables'!D11</f>
        <v>0.35</v>
      </c>
      <c r="G13" s="11">
        <f t="shared" si="22"/>
        <v>89687.15</v>
      </c>
      <c r="H13" s="11">
        <f t="shared" si="23"/>
        <v>0</v>
      </c>
      <c r="I13" s="97"/>
      <c r="J13" s="34">
        <f>'Tax Tables'!F11</f>
        <v>256226</v>
      </c>
      <c r="K13" s="44">
        <f>'Tax Tables'!G11</f>
        <v>640600</v>
      </c>
      <c r="L13" s="10">
        <f>'Tax Tables'!H11</f>
        <v>0.35</v>
      </c>
      <c r="M13" s="11">
        <f t="shared" si="24"/>
        <v>134530.9</v>
      </c>
      <c r="N13" s="11">
        <f t="shared" si="25"/>
        <v>50320.899999999994</v>
      </c>
      <c r="P13">
        <v>45</v>
      </c>
      <c r="R13" s="392">
        <f t="shared" si="0"/>
        <v>0</v>
      </c>
      <c r="S13" s="141" t="str">
        <f t="shared" si="9"/>
        <v/>
      </c>
      <c r="T13" s="141" t="str">
        <f t="shared" si="10"/>
        <v/>
      </c>
      <c r="U13" s="141">
        <f t="shared" si="1"/>
        <v>0</v>
      </c>
      <c r="V13" s="8">
        <f t="shared" si="2"/>
        <v>0.35</v>
      </c>
      <c r="W13" s="141">
        <f t="shared" si="3"/>
        <v>0</v>
      </c>
      <c r="X13" s="141" t="str">
        <f t="shared" si="4"/>
        <v/>
      </c>
      <c r="Y13" s="141" t="str">
        <f t="shared" si="11"/>
        <v/>
      </c>
      <c r="AA13">
        <v>45</v>
      </c>
      <c r="AC13" s="392">
        <f t="shared" si="5"/>
        <v>0</v>
      </c>
      <c r="AD13" s="141" t="str">
        <f t="shared" si="21"/>
        <v/>
      </c>
      <c r="AE13" s="141" t="str">
        <f t="shared" si="12"/>
        <v/>
      </c>
      <c r="AF13" s="141">
        <f t="shared" si="13"/>
        <v>0</v>
      </c>
      <c r="AG13" s="8">
        <v>0</v>
      </c>
      <c r="AH13" s="141">
        <f t="shared" si="6"/>
        <v>0</v>
      </c>
      <c r="AI13" s="141">
        <f t="shared" si="14"/>
        <v>0</v>
      </c>
      <c r="AJ13" s="141" t="str">
        <f t="shared" si="15"/>
        <v/>
      </c>
      <c r="AL13">
        <v>45</v>
      </c>
      <c r="AN13" s="392">
        <f t="shared" si="7"/>
        <v>0</v>
      </c>
      <c r="AO13" s="141" t="str">
        <f t="shared" si="16"/>
        <v/>
      </c>
      <c r="AP13" s="141" t="str">
        <f t="shared" si="17"/>
        <v/>
      </c>
      <c r="AQ13" s="141">
        <f t="shared" si="18"/>
        <v>0</v>
      </c>
      <c r="AR13" s="8">
        <v>0</v>
      </c>
      <c r="AS13" s="141">
        <f t="shared" si="8"/>
        <v>0</v>
      </c>
      <c r="AT13" s="141">
        <f t="shared" si="19"/>
        <v>0</v>
      </c>
      <c r="AU13" s="141" t="str">
        <f t="shared" si="20"/>
        <v/>
      </c>
    </row>
    <row r="14" spans="1:47" ht="16" thickBot="1" x14ac:dyDescent="0.25">
      <c r="A14" t="s">
        <v>231</v>
      </c>
      <c r="B14" s="141">
        <f>SUM(B12:B13)</f>
        <v>168967.46</v>
      </c>
      <c r="D14" s="35">
        <f>'Tax Tables'!B12</f>
        <v>768701</v>
      </c>
      <c r="E14" s="168">
        <f>'Tax Tables'!C12</f>
        <v>99999999999</v>
      </c>
      <c r="F14" s="13">
        <f>'Tax Tables'!D12</f>
        <v>0.37</v>
      </c>
      <c r="G14" s="14">
        <f>IF(G7&gt;=D14,(G7-D14)*F14,0)</f>
        <v>30080.63</v>
      </c>
      <c r="H14" s="14">
        <f>IF(H7&gt;=D14,(H7-D14)*F14,0)</f>
        <v>0</v>
      </c>
      <c r="J14" s="35">
        <f>'Tax Tables'!F12</f>
        <v>640601</v>
      </c>
      <c r="K14" s="168">
        <f>'Tax Tables'!G12</f>
        <v>99999999999</v>
      </c>
      <c r="L14" s="13">
        <f>'Tax Tables'!H12</f>
        <v>0.37</v>
      </c>
      <c r="M14" s="14">
        <f>IF(M7&gt;=J14,(M7-J14)*L14,0)</f>
        <v>77477.63</v>
      </c>
      <c r="N14" s="14">
        <f>IF(N7&gt;=J14,(N7-J14)*L14,0)</f>
        <v>0</v>
      </c>
      <c r="O14" s="23"/>
      <c r="P14">
        <v>46</v>
      </c>
      <c r="R14" s="392">
        <f t="shared" si="0"/>
        <v>0</v>
      </c>
      <c r="S14" s="141" t="str">
        <f t="shared" si="9"/>
        <v/>
      </c>
      <c r="T14" s="141" t="str">
        <f t="shared" si="10"/>
        <v/>
      </c>
      <c r="U14" s="141">
        <f t="shared" si="1"/>
        <v>0</v>
      </c>
      <c r="V14" s="8">
        <f t="shared" si="2"/>
        <v>0.35</v>
      </c>
      <c r="W14" s="141">
        <f t="shared" si="3"/>
        <v>0</v>
      </c>
      <c r="X14" s="141" t="str">
        <f t="shared" si="4"/>
        <v/>
      </c>
      <c r="Y14" s="141" t="str">
        <f t="shared" si="11"/>
        <v/>
      </c>
      <c r="AA14">
        <v>46</v>
      </c>
      <c r="AC14" s="392">
        <f t="shared" si="5"/>
        <v>0</v>
      </c>
      <c r="AD14" s="141" t="str">
        <f t="shared" si="21"/>
        <v/>
      </c>
      <c r="AE14" s="141" t="str">
        <f t="shared" si="12"/>
        <v/>
      </c>
      <c r="AF14" s="141">
        <f t="shared" si="13"/>
        <v>0</v>
      </c>
      <c r="AG14" s="8">
        <v>0</v>
      </c>
      <c r="AH14" s="141">
        <f t="shared" si="6"/>
        <v>0</v>
      </c>
      <c r="AI14" s="141">
        <f t="shared" si="14"/>
        <v>0</v>
      </c>
      <c r="AJ14" s="141" t="str">
        <f t="shared" si="15"/>
        <v/>
      </c>
      <c r="AL14">
        <v>46</v>
      </c>
      <c r="AN14" s="392">
        <f t="shared" si="7"/>
        <v>0</v>
      </c>
      <c r="AO14" s="141" t="str">
        <f t="shared" si="16"/>
        <v/>
      </c>
      <c r="AP14" s="141" t="str">
        <f t="shared" si="17"/>
        <v/>
      </c>
      <c r="AQ14" s="141">
        <f t="shared" si="18"/>
        <v>0</v>
      </c>
      <c r="AR14" s="8">
        <v>0</v>
      </c>
      <c r="AS14" s="141">
        <f t="shared" si="8"/>
        <v>0</v>
      </c>
      <c r="AT14" s="141">
        <f t="shared" si="19"/>
        <v>0</v>
      </c>
      <c r="AU14" s="141" t="str">
        <f t="shared" si="20"/>
        <v/>
      </c>
    </row>
    <row r="15" spans="1:47" ht="16" thickBot="1" x14ac:dyDescent="0.25">
      <c r="A15" t="s">
        <v>224</v>
      </c>
      <c r="B15" s="8">
        <f>B14/B3</f>
        <v>0.37548324444444442</v>
      </c>
      <c r="C15" s="340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8"/>
      <c r="P15">
        <v>47</v>
      </c>
      <c r="R15" s="392">
        <f t="shared" si="0"/>
        <v>0</v>
      </c>
      <c r="S15" s="141" t="str">
        <f t="shared" si="9"/>
        <v/>
      </c>
      <c r="T15" s="141" t="str">
        <f t="shared" si="10"/>
        <v/>
      </c>
      <c r="U15" s="141">
        <f t="shared" si="1"/>
        <v>0</v>
      </c>
      <c r="V15" s="8">
        <f t="shared" si="2"/>
        <v>0.35</v>
      </c>
      <c r="W15" s="141">
        <f t="shared" si="3"/>
        <v>0</v>
      </c>
      <c r="X15" s="141" t="str">
        <f t="shared" si="4"/>
        <v/>
      </c>
      <c r="Y15" s="141" t="str">
        <f t="shared" si="11"/>
        <v/>
      </c>
      <c r="AA15">
        <v>47</v>
      </c>
      <c r="AC15" s="392">
        <f t="shared" si="5"/>
        <v>0</v>
      </c>
      <c r="AD15" s="141" t="str">
        <f t="shared" si="21"/>
        <v/>
      </c>
      <c r="AE15" s="141" t="str">
        <f t="shared" si="12"/>
        <v/>
      </c>
      <c r="AF15" s="141">
        <f t="shared" si="13"/>
        <v>0</v>
      </c>
      <c r="AG15" s="8">
        <v>0</v>
      </c>
      <c r="AH15" s="141">
        <f t="shared" si="6"/>
        <v>0</v>
      </c>
      <c r="AI15" s="141">
        <f t="shared" si="14"/>
        <v>0</v>
      </c>
      <c r="AJ15" s="141" t="str">
        <f t="shared" si="15"/>
        <v/>
      </c>
      <c r="AL15">
        <v>47</v>
      </c>
      <c r="AN15" s="392">
        <f t="shared" si="7"/>
        <v>0</v>
      </c>
      <c r="AO15" s="141" t="str">
        <f t="shared" si="16"/>
        <v/>
      </c>
      <c r="AP15" s="141" t="str">
        <f t="shared" si="17"/>
        <v/>
      </c>
      <c r="AQ15" s="141">
        <f t="shared" si="18"/>
        <v>0</v>
      </c>
      <c r="AR15" s="8">
        <v>0</v>
      </c>
      <c r="AS15" s="141">
        <f t="shared" si="8"/>
        <v>0</v>
      </c>
      <c r="AT15" s="141">
        <f t="shared" si="19"/>
        <v>0</v>
      </c>
      <c r="AU15" s="141" t="str">
        <f t="shared" si="20"/>
        <v/>
      </c>
    </row>
    <row r="16" spans="1:47" ht="16" thickBot="1" x14ac:dyDescent="0.25">
      <c r="A16" t="s">
        <v>213</v>
      </c>
      <c r="B16" s="141">
        <f>B3-B14</f>
        <v>281032.54000000004</v>
      </c>
      <c r="D16" s="103"/>
      <c r="E16" s="97"/>
      <c r="F16" s="422" t="s">
        <v>26</v>
      </c>
      <c r="G16" s="423"/>
      <c r="H16" s="104" t="s">
        <v>38</v>
      </c>
      <c r="I16" s="96"/>
      <c r="J16" s="97"/>
      <c r="K16" s="97"/>
      <c r="L16" s="422" t="s">
        <v>26</v>
      </c>
      <c r="M16" s="423"/>
      <c r="N16" s="104" t="s">
        <v>38</v>
      </c>
      <c r="P16">
        <v>48</v>
      </c>
      <c r="R16" s="392">
        <f t="shared" si="0"/>
        <v>0</v>
      </c>
      <c r="S16" s="141" t="str">
        <f t="shared" si="9"/>
        <v/>
      </c>
      <c r="T16" s="141" t="str">
        <f t="shared" si="10"/>
        <v/>
      </c>
      <c r="U16" s="141">
        <f t="shared" si="1"/>
        <v>0</v>
      </c>
      <c r="V16" s="8">
        <f t="shared" si="2"/>
        <v>0.35</v>
      </c>
      <c r="W16" s="141">
        <f t="shared" si="3"/>
        <v>0</v>
      </c>
      <c r="X16" s="141" t="str">
        <f t="shared" si="4"/>
        <v/>
      </c>
      <c r="Y16" s="141" t="str">
        <f t="shared" si="11"/>
        <v/>
      </c>
      <c r="AA16">
        <v>48</v>
      </c>
      <c r="AC16" s="392">
        <f t="shared" si="5"/>
        <v>0</v>
      </c>
      <c r="AD16" s="141" t="str">
        <f t="shared" si="21"/>
        <v/>
      </c>
      <c r="AE16" s="141" t="str">
        <f t="shared" si="12"/>
        <v/>
      </c>
      <c r="AF16" s="141">
        <f t="shared" si="13"/>
        <v>0</v>
      </c>
      <c r="AG16" s="8">
        <v>0</v>
      </c>
      <c r="AH16" s="141">
        <f t="shared" si="6"/>
        <v>0</v>
      </c>
      <c r="AI16" s="141">
        <f t="shared" si="14"/>
        <v>0</v>
      </c>
      <c r="AJ16" s="141" t="str">
        <f t="shared" si="15"/>
        <v/>
      </c>
      <c r="AL16">
        <v>48</v>
      </c>
      <c r="AN16" s="392">
        <f t="shared" si="7"/>
        <v>0</v>
      </c>
      <c r="AO16" s="141" t="str">
        <f t="shared" si="16"/>
        <v/>
      </c>
      <c r="AP16" s="141" t="str">
        <f t="shared" si="17"/>
        <v/>
      </c>
      <c r="AQ16" s="141">
        <f t="shared" si="18"/>
        <v>0</v>
      </c>
      <c r="AR16" s="8">
        <v>0</v>
      </c>
      <c r="AS16" s="141">
        <f t="shared" si="8"/>
        <v>0</v>
      </c>
      <c r="AT16" s="141">
        <f t="shared" si="19"/>
        <v>0</v>
      </c>
      <c r="AU16" s="141" t="str">
        <f t="shared" si="20"/>
        <v/>
      </c>
    </row>
    <row r="17" spans="1:47" ht="16" thickBot="1" x14ac:dyDescent="0.25">
      <c r="A17" s="339" t="s">
        <v>271</v>
      </c>
      <c r="B17" s="345">
        <f>FV(B8,100-B4,0,-B16)</f>
        <v>3000466.8131384468</v>
      </c>
      <c r="D17" s="105"/>
      <c r="E17" s="100"/>
      <c r="F17" s="106">
        <f>SUM(G8:G14)</f>
        <v>236662.87999999998</v>
      </c>
      <c r="G17" s="106">
        <f>SUM(H8:H14)</f>
        <v>81195.419999999984</v>
      </c>
      <c r="H17" s="107">
        <f>F17-G17</f>
        <v>155467.46</v>
      </c>
      <c r="I17" s="101"/>
      <c r="J17" s="100"/>
      <c r="K17" s="100"/>
      <c r="L17" s="106">
        <f>SUM(M8:M14)</f>
        <v>270455.63</v>
      </c>
      <c r="M17" s="106">
        <f>SUM(N8:N14)</f>
        <v>108768</v>
      </c>
      <c r="N17" s="107">
        <f>L17-M17</f>
        <v>161687.63</v>
      </c>
      <c r="P17">
        <f>P16+1</f>
        <v>49</v>
      </c>
      <c r="R17" s="392">
        <f t="shared" si="0"/>
        <v>0</v>
      </c>
      <c r="S17" s="141" t="str">
        <f t="shared" si="9"/>
        <v/>
      </c>
      <c r="T17" s="141" t="str">
        <f t="shared" si="10"/>
        <v/>
      </c>
      <c r="U17" s="141">
        <f t="shared" si="1"/>
        <v>0</v>
      </c>
      <c r="V17" s="8">
        <f t="shared" si="2"/>
        <v>0.35</v>
      </c>
      <c r="W17" s="141">
        <f t="shared" si="3"/>
        <v>0</v>
      </c>
      <c r="X17" s="141" t="str">
        <f t="shared" si="4"/>
        <v/>
      </c>
      <c r="Y17" s="141" t="str">
        <f t="shared" si="11"/>
        <v/>
      </c>
      <c r="AA17">
        <f>AA16+1</f>
        <v>49</v>
      </c>
      <c r="AC17" s="392">
        <f t="shared" si="5"/>
        <v>0</v>
      </c>
      <c r="AD17" s="141" t="str">
        <f t="shared" si="21"/>
        <v/>
      </c>
      <c r="AE17" s="141" t="str">
        <f t="shared" si="12"/>
        <v/>
      </c>
      <c r="AF17" s="141">
        <f t="shared" si="13"/>
        <v>0</v>
      </c>
      <c r="AG17" s="8">
        <v>0</v>
      </c>
      <c r="AH17" s="141">
        <f t="shared" si="6"/>
        <v>0</v>
      </c>
      <c r="AI17" s="141">
        <f t="shared" si="14"/>
        <v>0</v>
      </c>
      <c r="AJ17" s="141" t="str">
        <f t="shared" si="15"/>
        <v/>
      </c>
      <c r="AL17">
        <f>AL16+1</f>
        <v>49</v>
      </c>
      <c r="AN17" s="392">
        <f t="shared" si="7"/>
        <v>0</v>
      </c>
      <c r="AO17" s="141" t="str">
        <f t="shared" si="16"/>
        <v/>
      </c>
      <c r="AP17" s="141" t="str">
        <f t="shared" si="17"/>
        <v/>
      </c>
      <c r="AQ17" s="141">
        <f t="shared" si="18"/>
        <v>0</v>
      </c>
      <c r="AR17" s="8">
        <v>0</v>
      </c>
      <c r="AS17" s="141">
        <f t="shared" si="8"/>
        <v>0</v>
      </c>
      <c r="AT17" s="141">
        <f t="shared" si="19"/>
        <v>0</v>
      </c>
      <c r="AU17" s="141" t="str">
        <f t="shared" si="20"/>
        <v/>
      </c>
    </row>
    <row r="18" spans="1:47" x14ac:dyDescent="0.2">
      <c r="D18" s="6"/>
      <c r="P18">
        <f>P17+1</f>
        <v>50</v>
      </c>
      <c r="R18" s="392">
        <f t="shared" si="0"/>
        <v>0</v>
      </c>
      <c r="S18" s="141" t="str">
        <f t="shared" si="9"/>
        <v/>
      </c>
      <c r="T18" s="141" t="str">
        <f t="shared" si="10"/>
        <v/>
      </c>
      <c r="U18" s="141">
        <f t="shared" si="1"/>
        <v>0</v>
      </c>
      <c r="V18" s="8">
        <f t="shared" si="2"/>
        <v>0.35</v>
      </c>
      <c r="W18" s="141">
        <f t="shared" si="3"/>
        <v>0</v>
      </c>
      <c r="X18" s="141" t="str">
        <f t="shared" si="4"/>
        <v/>
      </c>
      <c r="Y18" s="141" t="str">
        <f t="shared" si="11"/>
        <v/>
      </c>
      <c r="AA18">
        <f>AA17+1</f>
        <v>50</v>
      </c>
      <c r="AC18" s="392">
        <f t="shared" si="5"/>
        <v>0</v>
      </c>
      <c r="AD18" s="141" t="str">
        <f t="shared" ref="AD18:AD22" si="26">IF(AA18=$B$4,$B$16,IF(AD17="","",AE17*(1+$B$8)))</f>
        <v/>
      </c>
      <c r="AE18" s="141" t="str">
        <f t="shared" si="12"/>
        <v/>
      </c>
      <c r="AF18" s="141">
        <f t="shared" si="13"/>
        <v>0</v>
      </c>
      <c r="AG18" s="8">
        <v>0</v>
      </c>
      <c r="AH18" s="141">
        <f t="shared" si="6"/>
        <v>0</v>
      </c>
      <c r="AI18" s="141">
        <f t="shared" si="14"/>
        <v>0</v>
      </c>
      <c r="AJ18" s="141" t="str">
        <f t="shared" si="15"/>
        <v/>
      </c>
      <c r="AL18">
        <f>AL17+1</f>
        <v>50</v>
      </c>
      <c r="AN18" s="392">
        <f t="shared" si="7"/>
        <v>0</v>
      </c>
      <c r="AO18" s="141" t="str">
        <f t="shared" si="16"/>
        <v/>
      </c>
      <c r="AP18" s="141" t="str">
        <f t="shared" si="17"/>
        <v/>
      </c>
      <c r="AQ18" s="141">
        <f t="shared" si="18"/>
        <v>0</v>
      </c>
      <c r="AR18" s="8">
        <v>0</v>
      </c>
      <c r="AS18" s="141">
        <f t="shared" si="8"/>
        <v>0</v>
      </c>
      <c r="AT18" s="141">
        <f t="shared" si="19"/>
        <v>0</v>
      </c>
      <c r="AU18" s="141" t="str">
        <f t="shared" si="20"/>
        <v/>
      </c>
    </row>
    <row r="19" spans="1:47" ht="16" thickBot="1" x14ac:dyDescent="0.25">
      <c r="P19">
        <f>P18+1</f>
        <v>51</v>
      </c>
      <c r="R19" s="392">
        <f t="shared" si="0"/>
        <v>0</v>
      </c>
      <c r="S19" s="141" t="str">
        <f t="shared" si="9"/>
        <v/>
      </c>
      <c r="T19" s="141" t="str">
        <f t="shared" si="10"/>
        <v/>
      </c>
      <c r="U19" s="141">
        <f t="shared" si="1"/>
        <v>0</v>
      </c>
      <c r="V19" s="8">
        <f t="shared" si="2"/>
        <v>0.35</v>
      </c>
      <c r="W19" s="141">
        <f t="shared" si="3"/>
        <v>0</v>
      </c>
      <c r="X19" s="141" t="str">
        <f t="shared" si="4"/>
        <v/>
      </c>
      <c r="Y19" s="141" t="str">
        <f t="shared" si="11"/>
        <v/>
      </c>
      <c r="AA19">
        <f>AA18+1</f>
        <v>51</v>
      </c>
      <c r="AC19" s="392">
        <f t="shared" si="5"/>
        <v>0</v>
      </c>
      <c r="AD19" s="141" t="str">
        <f t="shared" si="26"/>
        <v/>
      </c>
      <c r="AE19" s="141" t="str">
        <f t="shared" si="12"/>
        <v/>
      </c>
      <c r="AF19" s="141">
        <f t="shared" si="13"/>
        <v>0</v>
      </c>
      <c r="AG19" s="8">
        <v>0</v>
      </c>
      <c r="AH19" s="141">
        <f t="shared" si="6"/>
        <v>0</v>
      </c>
      <c r="AI19" s="141">
        <f t="shared" si="14"/>
        <v>0</v>
      </c>
      <c r="AJ19" s="141" t="str">
        <f t="shared" si="15"/>
        <v/>
      </c>
      <c r="AL19">
        <f>AL18+1</f>
        <v>51</v>
      </c>
      <c r="AN19" s="392">
        <f t="shared" si="7"/>
        <v>0</v>
      </c>
      <c r="AO19" s="141" t="str">
        <f t="shared" si="16"/>
        <v/>
      </c>
      <c r="AP19" s="141" t="str">
        <f t="shared" si="17"/>
        <v/>
      </c>
      <c r="AQ19" s="141">
        <f t="shared" si="18"/>
        <v>0</v>
      </c>
      <c r="AR19" s="8">
        <v>0</v>
      </c>
      <c r="AS19" s="141">
        <f t="shared" si="8"/>
        <v>0</v>
      </c>
      <c r="AT19" s="141">
        <f t="shared" si="19"/>
        <v>0</v>
      </c>
      <c r="AU19" s="141" t="str">
        <f t="shared" si="20"/>
        <v/>
      </c>
    </row>
    <row r="20" spans="1:47" ht="16" thickBot="1" x14ac:dyDescent="0.25">
      <c r="A20" s="435" t="s">
        <v>223</v>
      </c>
      <c r="B20" s="435"/>
      <c r="D20" s="440" t="s">
        <v>107</v>
      </c>
      <c r="E20" s="441"/>
      <c r="F20" s="441"/>
      <c r="G20" s="441"/>
      <c r="H20" s="441"/>
      <c r="I20" s="441"/>
      <c r="J20" s="441"/>
      <c r="K20" s="441"/>
      <c r="L20" s="441"/>
      <c r="M20" s="441"/>
      <c r="N20" s="442"/>
      <c r="P20">
        <f t="shared" ref="P20:P68" si="27">P19+1</f>
        <v>52</v>
      </c>
      <c r="R20" s="392">
        <f t="shared" si="0"/>
        <v>0</v>
      </c>
      <c r="S20" s="141" t="str">
        <f t="shared" si="9"/>
        <v/>
      </c>
      <c r="T20" s="141" t="str">
        <f t="shared" si="10"/>
        <v/>
      </c>
      <c r="U20" s="141">
        <f t="shared" si="1"/>
        <v>0</v>
      </c>
      <c r="V20" s="8">
        <f t="shared" si="2"/>
        <v>0.35</v>
      </c>
      <c r="W20" s="141">
        <f t="shared" si="3"/>
        <v>0</v>
      </c>
      <c r="X20" s="141" t="str">
        <f t="shared" si="4"/>
        <v/>
      </c>
      <c r="Y20" s="141" t="str">
        <f t="shared" si="11"/>
        <v/>
      </c>
      <c r="AA20">
        <f t="shared" ref="AA20:AA68" si="28">AA19+1</f>
        <v>52</v>
      </c>
      <c r="AC20" s="392">
        <f t="shared" si="5"/>
        <v>0</v>
      </c>
      <c r="AD20" s="141" t="str">
        <f t="shared" si="26"/>
        <v/>
      </c>
      <c r="AE20" s="141" t="str">
        <f t="shared" si="12"/>
        <v/>
      </c>
      <c r="AF20" s="141">
        <f t="shared" si="13"/>
        <v>0</v>
      </c>
      <c r="AG20" s="8">
        <v>0</v>
      </c>
      <c r="AH20" s="141">
        <f t="shared" si="6"/>
        <v>0</v>
      </c>
      <c r="AI20" s="141">
        <f t="shared" si="14"/>
        <v>0</v>
      </c>
      <c r="AJ20" s="141" t="str">
        <f t="shared" si="15"/>
        <v/>
      </c>
      <c r="AL20">
        <f t="shared" ref="AL20:AL68" si="29">AL19+1</f>
        <v>52</v>
      </c>
      <c r="AN20" s="392">
        <f t="shared" si="7"/>
        <v>0</v>
      </c>
      <c r="AO20" s="141" t="str">
        <f t="shared" si="16"/>
        <v/>
      </c>
      <c r="AP20" s="141" t="str">
        <f t="shared" si="17"/>
        <v/>
      </c>
      <c r="AQ20" s="141">
        <f t="shared" si="18"/>
        <v>0</v>
      </c>
      <c r="AR20" s="8">
        <v>0</v>
      </c>
      <c r="AS20" s="141">
        <f t="shared" si="8"/>
        <v>0</v>
      </c>
      <c r="AT20" s="141">
        <f t="shared" si="19"/>
        <v>0</v>
      </c>
      <c r="AU20" s="141" t="str">
        <f t="shared" si="20"/>
        <v/>
      </c>
    </row>
    <row r="21" spans="1:47" ht="16" thickBot="1" x14ac:dyDescent="0.25">
      <c r="A21" s="1" t="s">
        <v>232</v>
      </c>
      <c r="B21" s="343">
        <f>IF('Roth comparison'!C8="",B15,'Roth comparison'!C8)</f>
        <v>0.35</v>
      </c>
      <c r="D21" s="114"/>
      <c r="E21" s="113"/>
      <c r="F21" s="113"/>
      <c r="G21" s="113"/>
      <c r="H21" s="113"/>
      <c r="I21" s="113"/>
      <c r="J21" s="113"/>
      <c r="K21" s="113"/>
      <c r="L21" s="113"/>
      <c r="M21" s="113"/>
      <c r="N21" s="115"/>
      <c r="P21">
        <f t="shared" si="27"/>
        <v>53</v>
      </c>
      <c r="R21" s="392">
        <f t="shared" si="0"/>
        <v>0</v>
      </c>
      <c r="S21" s="141" t="str">
        <f t="shared" si="9"/>
        <v/>
      </c>
      <c r="T21" s="141" t="str">
        <f t="shared" si="10"/>
        <v/>
      </c>
      <c r="U21" s="141">
        <f t="shared" si="1"/>
        <v>0</v>
      </c>
      <c r="V21" s="8">
        <f t="shared" si="2"/>
        <v>0.35</v>
      </c>
      <c r="W21" s="141">
        <f t="shared" si="3"/>
        <v>0</v>
      </c>
      <c r="X21" s="141" t="str">
        <f t="shared" si="4"/>
        <v/>
      </c>
      <c r="Y21" s="141" t="str">
        <f t="shared" si="11"/>
        <v/>
      </c>
      <c r="AA21">
        <f t="shared" si="28"/>
        <v>53</v>
      </c>
      <c r="AC21" s="392">
        <f t="shared" si="5"/>
        <v>0</v>
      </c>
      <c r="AD21" s="141" t="str">
        <f t="shared" si="26"/>
        <v/>
      </c>
      <c r="AE21" s="141" t="str">
        <f t="shared" si="12"/>
        <v/>
      </c>
      <c r="AF21" s="141">
        <f t="shared" si="13"/>
        <v>0</v>
      </c>
      <c r="AG21" s="8">
        <v>0</v>
      </c>
      <c r="AH21" s="141">
        <f t="shared" si="6"/>
        <v>0</v>
      </c>
      <c r="AI21" s="141">
        <f t="shared" si="14"/>
        <v>0</v>
      </c>
      <c r="AJ21" s="141" t="str">
        <f t="shared" si="15"/>
        <v/>
      </c>
      <c r="AL21">
        <f t="shared" si="29"/>
        <v>53</v>
      </c>
      <c r="AN21" s="392">
        <f t="shared" si="7"/>
        <v>0</v>
      </c>
      <c r="AO21" s="141" t="str">
        <f t="shared" si="16"/>
        <v/>
      </c>
      <c r="AP21" s="141" t="str">
        <f t="shared" si="17"/>
        <v/>
      </c>
      <c r="AQ21" s="141">
        <f t="shared" si="18"/>
        <v>0</v>
      </c>
      <c r="AR21" s="8">
        <v>0</v>
      </c>
      <c r="AS21" s="141">
        <f t="shared" si="8"/>
        <v>0</v>
      </c>
      <c r="AT21" s="141">
        <f t="shared" si="19"/>
        <v>0</v>
      </c>
      <c r="AU21" s="141" t="str">
        <f t="shared" si="20"/>
        <v/>
      </c>
    </row>
    <row r="22" spans="1:47" ht="16" thickBot="1" x14ac:dyDescent="0.25">
      <c r="A22" s="339" t="s">
        <v>222</v>
      </c>
      <c r="B22" s="346">
        <f>NPV(B8,X3:X68)</f>
        <v>151199.99999999994</v>
      </c>
      <c r="D22" s="419" t="s">
        <v>17</v>
      </c>
      <c r="E22" s="420"/>
      <c r="F22" s="421"/>
      <c r="G22" s="7" t="s">
        <v>211</v>
      </c>
      <c r="H22" s="7" t="s">
        <v>209</v>
      </c>
      <c r="I22" s="97"/>
      <c r="J22" s="419" t="s">
        <v>19</v>
      </c>
      <c r="K22" s="420"/>
      <c r="L22" s="421"/>
      <c r="M22" s="7" t="s">
        <v>211</v>
      </c>
      <c r="N22" s="7" t="s">
        <v>209</v>
      </c>
      <c r="P22">
        <f t="shared" si="27"/>
        <v>54</v>
      </c>
      <c r="R22" s="392">
        <f t="shared" si="0"/>
        <v>0</v>
      </c>
      <c r="S22" s="141" t="str">
        <f>IF(S21="",IF(P22=$B$4,$B$3,""),T21*(1+$B$8))</f>
        <v/>
      </c>
      <c r="T22" s="141" t="str">
        <f t="shared" si="10"/>
        <v/>
      </c>
      <c r="U22" s="141">
        <f t="shared" si="1"/>
        <v>0</v>
      </c>
      <c r="V22" s="8">
        <f t="shared" si="2"/>
        <v>0.35</v>
      </c>
      <c r="W22" s="141">
        <f t="shared" si="3"/>
        <v>0</v>
      </c>
      <c r="X22" s="141" t="str">
        <f t="shared" si="4"/>
        <v/>
      </c>
      <c r="Y22" s="141" t="str">
        <f t="shared" si="11"/>
        <v/>
      </c>
      <c r="AA22">
        <f t="shared" si="28"/>
        <v>54</v>
      </c>
      <c r="AC22" s="392">
        <f t="shared" si="5"/>
        <v>0</v>
      </c>
      <c r="AD22" s="141" t="str">
        <f t="shared" si="26"/>
        <v/>
      </c>
      <c r="AE22" s="141" t="str">
        <f t="shared" si="12"/>
        <v/>
      </c>
      <c r="AF22" s="141">
        <f t="shared" si="13"/>
        <v>0</v>
      </c>
      <c r="AG22" s="8">
        <v>0</v>
      </c>
      <c r="AH22" s="141">
        <f t="shared" si="6"/>
        <v>0</v>
      </c>
      <c r="AI22" s="141">
        <f t="shared" si="14"/>
        <v>0</v>
      </c>
      <c r="AJ22" s="141" t="str">
        <f t="shared" si="15"/>
        <v/>
      </c>
      <c r="AL22">
        <f t="shared" si="29"/>
        <v>54</v>
      </c>
      <c r="AN22" s="392">
        <f t="shared" si="7"/>
        <v>0</v>
      </c>
      <c r="AO22" s="141" t="str">
        <f t="shared" si="16"/>
        <v/>
      </c>
      <c r="AP22" s="141" t="str">
        <f t="shared" si="17"/>
        <v/>
      </c>
      <c r="AQ22" s="141">
        <f t="shared" si="18"/>
        <v>0</v>
      </c>
      <c r="AR22" s="8">
        <v>0</v>
      </c>
      <c r="AS22" s="141">
        <f t="shared" si="8"/>
        <v>0</v>
      </c>
      <c r="AT22" s="141">
        <f t="shared" si="19"/>
        <v>0</v>
      </c>
      <c r="AU22" s="141" t="str">
        <f t="shared" si="20"/>
        <v/>
      </c>
    </row>
    <row r="23" spans="1:47" ht="16" thickBot="1" x14ac:dyDescent="0.25">
      <c r="A23" s="339" t="s">
        <v>272</v>
      </c>
      <c r="B23" s="344">
        <f>Y68</f>
        <v>3122900.0842500199</v>
      </c>
      <c r="D23" s="9"/>
      <c r="G23" s="73">
        <f>G7</f>
        <v>850000</v>
      </c>
      <c r="H23" s="73">
        <f>H7</f>
        <v>400000</v>
      </c>
      <c r="I23" s="97"/>
      <c r="J23" s="9"/>
      <c r="M23" s="121">
        <f>G23</f>
        <v>850000</v>
      </c>
      <c r="N23" s="121">
        <f>H23</f>
        <v>400000</v>
      </c>
      <c r="P23">
        <f t="shared" si="27"/>
        <v>55</v>
      </c>
      <c r="R23" s="392">
        <f t="shared" si="0"/>
        <v>0</v>
      </c>
      <c r="S23" s="141" t="str">
        <f>IF(S22="",IF(P23=$B$4,$B$3,""),T22*(1+$B$8))</f>
        <v/>
      </c>
      <c r="T23" s="141" t="str">
        <f t="shared" si="10"/>
        <v/>
      </c>
      <c r="U23" s="141">
        <f t="shared" si="1"/>
        <v>0</v>
      </c>
      <c r="V23" s="8">
        <f t="shared" si="2"/>
        <v>0.35</v>
      </c>
      <c r="W23" s="141">
        <f t="shared" si="3"/>
        <v>0</v>
      </c>
      <c r="X23" s="141" t="str">
        <f t="shared" si="4"/>
        <v/>
      </c>
      <c r="Y23" s="141" t="str">
        <f t="shared" si="11"/>
        <v/>
      </c>
      <c r="AA23">
        <f t="shared" si="28"/>
        <v>55</v>
      </c>
      <c r="AC23" s="392">
        <f t="shared" si="5"/>
        <v>0</v>
      </c>
      <c r="AD23" s="141" t="str">
        <f>IF(AA23=$B$4,$B$16,IF(AD22="","",AE22*(1+$B$8)))</f>
        <v/>
      </c>
      <c r="AE23" s="141" t="str">
        <f t="shared" si="12"/>
        <v/>
      </c>
      <c r="AF23" s="141">
        <f t="shared" si="13"/>
        <v>0</v>
      </c>
      <c r="AG23" s="8">
        <v>0</v>
      </c>
      <c r="AH23" s="141">
        <f t="shared" si="6"/>
        <v>0</v>
      </c>
      <c r="AI23" s="141">
        <f t="shared" si="14"/>
        <v>0</v>
      </c>
      <c r="AJ23" s="141" t="str">
        <f t="shared" si="15"/>
        <v/>
      </c>
      <c r="AL23">
        <f t="shared" si="29"/>
        <v>55</v>
      </c>
      <c r="AN23" s="392">
        <f t="shared" si="7"/>
        <v>0</v>
      </c>
      <c r="AO23" s="141" t="str">
        <f t="shared" si="16"/>
        <v/>
      </c>
      <c r="AP23" s="141" t="str">
        <f t="shared" si="17"/>
        <v/>
      </c>
      <c r="AQ23" s="141">
        <f t="shared" si="18"/>
        <v>0</v>
      </c>
      <c r="AR23" s="8">
        <v>0</v>
      </c>
      <c r="AS23" s="141">
        <f t="shared" si="8"/>
        <v>0</v>
      </c>
      <c r="AT23" s="141">
        <f t="shared" si="19"/>
        <v>0</v>
      </c>
      <c r="AU23" s="141" t="str">
        <f t="shared" si="20"/>
        <v/>
      </c>
    </row>
    <row r="24" spans="1:47" x14ac:dyDescent="0.2">
      <c r="D24" s="60">
        <f>'Tax Tables'!B25</f>
        <v>0</v>
      </c>
      <c r="E24" s="65">
        <f>'Tax Tables'!C25</f>
        <v>100000000</v>
      </c>
      <c r="F24" s="67">
        <f>'Tax Tables'!D25</f>
        <v>0.03</v>
      </c>
      <c r="G24" s="36">
        <f>IF(IF(G$23&gt;E24,(E24-D24)*F24,(G$23-D24)*F24)&gt;0,IF(G$23&gt;E24,(E24-D24)*F24,(G$23-D24)*F24),0)</f>
        <v>25500</v>
      </c>
      <c r="H24" s="38">
        <f>IF(IF(H$23&gt;E24,(E24-D24)*F24,(H$23-D24)*F24)&gt;0,IF(H$23&gt;E24,(E24-D24)*F24,(H$23-D24)*F24),0)</f>
        <v>12000</v>
      </c>
      <c r="I24" s="97"/>
      <c r="J24" s="60">
        <f>'Tax Tables'!F25</f>
        <v>0</v>
      </c>
      <c r="K24" s="65">
        <f>'Tax Tables'!G25</f>
        <v>100000000</v>
      </c>
      <c r="L24" s="66">
        <f>'Tax Tables'!H25</f>
        <v>0.03</v>
      </c>
      <c r="M24" s="36">
        <f>IF(IF(M$23&gt;K24,(K24-J24)*L24,(M$23-J24)*L24)&gt;0,IF(M$23&gt;K24,(K24-J24)*L24,(M$23-J24)*L24),0)</f>
        <v>25500</v>
      </c>
      <c r="N24" s="38">
        <f>IF(IF(N$23&gt;K24,(K24-J24)*L24,(N$23-J24)*L24)&gt;0,IF(N$23&gt;K24,(K24-J24)*L24,(N$23-J24)*L24),0)</f>
        <v>12000</v>
      </c>
      <c r="P24">
        <f t="shared" si="27"/>
        <v>56</v>
      </c>
      <c r="R24" s="392">
        <f t="shared" si="0"/>
        <v>0</v>
      </c>
      <c r="S24" s="141" t="str">
        <f>IF(S23="",IF(P24=$B$4,$B$3,""),T23*(1+$B$8))</f>
        <v/>
      </c>
      <c r="T24" s="141" t="str">
        <f t="shared" si="10"/>
        <v/>
      </c>
      <c r="U24" s="141">
        <f t="shared" si="1"/>
        <v>0</v>
      </c>
      <c r="V24" s="8">
        <f t="shared" si="2"/>
        <v>0.35</v>
      </c>
      <c r="W24" s="141">
        <f t="shared" si="3"/>
        <v>0</v>
      </c>
      <c r="X24" s="141" t="str">
        <f t="shared" si="4"/>
        <v/>
      </c>
      <c r="Y24" s="141" t="str">
        <f t="shared" si="11"/>
        <v/>
      </c>
      <c r="AA24">
        <f t="shared" si="28"/>
        <v>56</v>
      </c>
      <c r="AC24" s="392">
        <f t="shared" si="5"/>
        <v>0</v>
      </c>
      <c r="AD24" s="141" t="str">
        <f t="shared" ref="AD24:AD68" si="30">IF(AA24=$B$4,$B$16,IF(AD23="","",AE23*(1+$B$8)))</f>
        <v/>
      </c>
      <c r="AE24" s="141" t="str">
        <f t="shared" si="12"/>
        <v/>
      </c>
      <c r="AF24" s="141">
        <f t="shared" si="13"/>
        <v>0</v>
      </c>
      <c r="AG24" s="8">
        <v>0</v>
      </c>
      <c r="AH24" s="141">
        <f t="shared" si="6"/>
        <v>0</v>
      </c>
      <c r="AI24" s="141">
        <f t="shared" si="14"/>
        <v>0</v>
      </c>
      <c r="AJ24" s="141" t="str">
        <f t="shared" si="15"/>
        <v/>
      </c>
      <c r="AL24">
        <f t="shared" si="29"/>
        <v>56</v>
      </c>
      <c r="AN24" s="392">
        <f t="shared" si="7"/>
        <v>0</v>
      </c>
      <c r="AO24" s="141" t="str">
        <f t="shared" si="16"/>
        <v/>
      </c>
      <c r="AP24" s="141" t="str">
        <f t="shared" si="17"/>
        <v/>
      </c>
      <c r="AQ24" s="141">
        <f t="shared" si="18"/>
        <v>0</v>
      </c>
      <c r="AR24" s="8">
        <v>0</v>
      </c>
      <c r="AS24" s="141">
        <f t="shared" si="8"/>
        <v>0</v>
      </c>
      <c r="AT24" s="141">
        <f t="shared" si="19"/>
        <v>0</v>
      </c>
      <c r="AU24" s="141" t="str">
        <f t="shared" si="20"/>
        <v/>
      </c>
    </row>
    <row r="25" spans="1:47" x14ac:dyDescent="0.2">
      <c r="D25" s="60">
        <f>'Tax Tables'!B26</f>
        <v>0</v>
      </c>
      <c r="E25" s="65">
        <f>'Tax Tables'!C26</f>
        <v>0</v>
      </c>
      <c r="F25" s="40">
        <f>'Tax Tables'!D26</f>
        <v>0</v>
      </c>
      <c r="G25" s="34">
        <f>IF(IF(G$23&gt;E25,(E25-D25)*F25,(G$23-D25)*F25)&gt;0,IF(G$23&gt;E25,(E25-D25)*F25,(G$23-D25)*F25),0)</f>
        <v>0</v>
      </c>
      <c r="H25" s="11">
        <f>IF(IF(H$23&gt;E25,(E25-D25)*F25,(H$23-D25)*F25)&gt;0,IF(H$23&gt;E25,(E25-D25)*F25,(H$23-D25)*F25),0)</f>
        <v>0</v>
      </c>
      <c r="I25" s="97"/>
      <c r="J25" s="60">
        <f>'Tax Tables'!F26</f>
        <v>0</v>
      </c>
      <c r="K25" s="65">
        <f>'Tax Tables'!G26</f>
        <v>0</v>
      </c>
      <c r="L25" s="29">
        <f>'Tax Tables'!H26</f>
        <v>0</v>
      </c>
      <c r="M25" s="34">
        <f>IF(IF(M$23&gt;K25,(K25-J25)*L25,(M$23-J25)*L25)&gt;0,IF(M$23&gt;K25,(K25-J25)*L25,(M$23-J25)*L25),0)</f>
        <v>0</v>
      </c>
      <c r="N25" s="11">
        <f>IF(IF(N$23&gt;K25,(K25-J25)*L25,(N$23-J25)*L25)&gt;0,IF(N$23&gt;K25,(K25-J25)*L25,(N$23-J25)*L25),0)</f>
        <v>0</v>
      </c>
      <c r="P25">
        <f t="shared" si="27"/>
        <v>57</v>
      </c>
      <c r="R25" s="392">
        <f t="shared" si="0"/>
        <v>0</v>
      </c>
      <c r="S25" s="141" t="str">
        <f t="shared" ref="S25:S68" si="31">IF(S24="",IF(P25=$B$4,$B$3,""),T24*(1+$B$8))</f>
        <v/>
      </c>
      <c r="T25" s="141" t="str">
        <f>IFERROR((1-R25)*S25,"")</f>
        <v/>
      </c>
      <c r="U25" s="141">
        <f t="shared" si="1"/>
        <v>0</v>
      </c>
      <c r="V25" s="8">
        <f t="shared" si="2"/>
        <v>0.35</v>
      </c>
      <c r="W25" s="141">
        <f t="shared" si="3"/>
        <v>0</v>
      </c>
      <c r="X25" s="141" t="str">
        <f t="shared" si="4"/>
        <v/>
      </c>
      <c r="Y25" s="141" t="str">
        <f t="shared" si="11"/>
        <v/>
      </c>
      <c r="AA25">
        <f t="shared" si="28"/>
        <v>57</v>
      </c>
      <c r="AC25" s="392">
        <f t="shared" si="5"/>
        <v>0</v>
      </c>
      <c r="AD25" s="141" t="str">
        <f t="shared" si="30"/>
        <v/>
      </c>
      <c r="AE25" s="141" t="str">
        <f>IFERROR((1-AC25)*AD25,"")</f>
        <v/>
      </c>
      <c r="AF25" s="141">
        <f t="shared" si="13"/>
        <v>0</v>
      </c>
      <c r="AG25" s="8">
        <v>0</v>
      </c>
      <c r="AH25" s="141">
        <f t="shared" si="6"/>
        <v>0</v>
      </c>
      <c r="AI25" s="141">
        <f t="shared" si="14"/>
        <v>0</v>
      </c>
      <c r="AJ25" s="141" t="str">
        <f t="shared" si="15"/>
        <v/>
      </c>
      <c r="AL25">
        <f t="shared" si="29"/>
        <v>57</v>
      </c>
      <c r="AN25" s="392">
        <f t="shared" si="7"/>
        <v>0</v>
      </c>
      <c r="AO25" s="141" t="str">
        <f t="shared" si="16"/>
        <v/>
      </c>
      <c r="AP25" s="141" t="str">
        <f>IFERROR((1-AN25)*AO25,"")</f>
        <v/>
      </c>
      <c r="AQ25" s="141">
        <f t="shared" si="18"/>
        <v>0</v>
      </c>
      <c r="AR25" s="8">
        <v>0</v>
      </c>
      <c r="AS25" s="141">
        <f t="shared" si="8"/>
        <v>0</v>
      </c>
      <c r="AT25" s="141">
        <f t="shared" si="19"/>
        <v>0</v>
      </c>
      <c r="AU25" s="141" t="str">
        <f t="shared" si="20"/>
        <v/>
      </c>
    </row>
    <row r="26" spans="1:47" x14ac:dyDescent="0.2">
      <c r="A26" s="435" t="s">
        <v>259</v>
      </c>
      <c r="B26" s="435"/>
      <c r="D26" s="60">
        <f>'Tax Tables'!B27</f>
        <v>0</v>
      </c>
      <c r="E26" s="65">
        <f>'Tax Tables'!C27</f>
        <v>0</v>
      </c>
      <c r="F26" s="40">
        <f>'Tax Tables'!D27</f>
        <v>0</v>
      </c>
      <c r="G26" s="34">
        <f>IF(IF(G$23&gt;E26,(E26-D26)*F26,(G$23-D26)*F26)&gt;0,IF(G$23&gt;E26,(E26-D26)*F26,(G$23-D26)*F26),0)</f>
        <v>0</v>
      </c>
      <c r="H26" s="11">
        <f>IF(IF(H$23&gt;E26,(E26-D26)*F26,(H$23-D26)*F26)&gt;0,IF(H$23&gt;E26,(E26-D26)*F26,(H$23-D26)*F26),0)</f>
        <v>0</v>
      </c>
      <c r="I26" s="97"/>
      <c r="J26" s="60">
        <f>'Tax Tables'!F27</f>
        <v>0</v>
      </c>
      <c r="K26" s="65">
        <f>'Tax Tables'!G27</f>
        <v>0</v>
      </c>
      <c r="L26" s="29">
        <f>'Tax Tables'!H27</f>
        <v>0</v>
      </c>
      <c r="M26" s="34">
        <f>IF(IF(M$23&gt;K26,(K26-J26)*L26,(M$23-J26)*L26)&gt;0,IF(M$23&gt;K26,(K26-J26)*L26,(M$23-J26)*L26),0)</f>
        <v>0</v>
      </c>
      <c r="N26" s="11">
        <f>IF(IF(N$23&gt;K26,(K26-J26)*L26,(N$23-J26)*L26)&gt;0,IF(N$23&gt;K26,(K26-J26)*L26,(N$23-J26)*L26),0)</f>
        <v>0</v>
      </c>
      <c r="P26">
        <f t="shared" si="27"/>
        <v>58</v>
      </c>
      <c r="R26" s="392">
        <f t="shared" si="0"/>
        <v>0</v>
      </c>
      <c r="S26" s="141" t="str">
        <f t="shared" si="31"/>
        <v/>
      </c>
      <c r="T26" s="141" t="str">
        <f t="shared" si="10"/>
        <v/>
      </c>
      <c r="U26" s="141">
        <f t="shared" si="1"/>
        <v>0</v>
      </c>
      <c r="V26" s="8">
        <f t="shared" si="2"/>
        <v>0.35</v>
      </c>
      <c r="W26" s="141">
        <f t="shared" si="3"/>
        <v>0</v>
      </c>
      <c r="X26" s="141" t="str">
        <f t="shared" si="4"/>
        <v/>
      </c>
      <c r="Y26" s="141" t="str">
        <f t="shared" si="11"/>
        <v/>
      </c>
      <c r="AA26">
        <f t="shared" si="28"/>
        <v>58</v>
      </c>
      <c r="AC26" s="392">
        <f t="shared" si="5"/>
        <v>0</v>
      </c>
      <c r="AD26" s="141" t="str">
        <f t="shared" si="30"/>
        <v/>
      </c>
      <c r="AE26" s="141" t="str">
        <f t="shared" ref="AE26:AE66" si="32">IFERROR((1-AC26)*AD26,"")</f>
        <v/>
      </c>
      <c r="AF26" s="141">
        <f t="shared" si="13"/>
        <v>0</v>
      </c>
      <c r="AG26" s="8">
        <v>0</v>
      </c>
      <c r="AH26" s="141">
        <f t="shared" si="6"/>
        <v>0</v>
      </c>
      <c r="AI26" s="141">
        <f t="shared" si="14"/>
        <v>0</v>
      </c>
      <c r="AJ26" s="141" t="str">
        <f t="shared" si="15"/>
        <v/>
      </c>
      <c r="AL26">
        <f t="shared" si="29"/>
        <v>58</v>
      </c>
      <c r="AN26" s="392">
        <f t="shared" si="7"/>
        <v>0</v>
      </c>
      <c r="AO26" s="141" t="str">
        <f t="shared" si="16"/>
        <v/>
      </c>
      <c r="AP26" s="141" t="str">
        <f t="shared" ref="AP26:AP66" si="33">IFERROR((1-AN26)*AO26,"")</f>
        <v/>
      </c>
      <c r="AQ26" s="141">
        <f t="shared" si="18"/>
        <v>0</v>
      </c>
      <c r="AR26" s="8">
        <v>0</v>
      </c>
      <c r="AS26" s="141">
        <f t="shared" si="8"/>
        <v>0</v>
      </c>
      <c r="AT26" s="141">
        <f t="shared" si="19"/>
        <v>0</v>
      </c>
      <c r="AU26" s="141" t="str">
        <f t="shared" si="20"/>
        <v/>
      </c>
    </row>
    <row r="27" spans="1:47" x14ac:dyDescent="0.2">
      <c r="A27" s="1" t="s">
        <v>232</v>
      </c>
      <c r="B27" s="343">
        <f>IF('Roth comparison'!C8="",B15,'Roth comparison'!C8)</f>
        <v>0.35</v>
      </c>
      <c r="D27" s="60">
        <f>'Tax Tables'!B28</f>
        <v>0</v>
      </c>
      <c r="E27" s="65">
        <f>'Tax Tables'!C28</f>
        <v>0</v>
      </c>
      <c r="F27" s="40">
        <f>'Tax Tables'!D28</f>
        <v>0</v>
      </c>
      <c r="G27" s="34">
        <f>IF(IF(G$23&gt;E27,(E27-D27)*F27,(G$23-D27)*F27)&gt;0,IF(G$23&gt;E27,(E27-D27)*F27,(G$23-D27)*F27),0)</f>
        <v>0</v>
      </c>
      <c r="H27" s="11">
        <f>IF(IF(H$23&gt;E27,(E27-D27)*F27,(H$23-D27)*F27)&gt;0,IF(H$23&gt;E27,(E27-D27)*F27,(H$23-D27)*F27),0)</f>
        <v>0</v>
      </c>
      <c r="I27" s="97"/>
      <c r="J27" s="60">
        <f>'Tax Tables'!F28</f>
        <v>0</v>
      </c>
      <c r="K27" s="65">
        <f>'Tax Tables'!G28</f>
        <v>0</v>
      </c>
      <c r="L27" s="29">
        <f>'Tax Tables'!H28</f>
        <v>0</v>
      </c>
      <c r="M27" s="34">
        <f>IF(IF(M$23&gt;K27,(K27-J27)*L27,(M$23-J27)*L27)&gt;0,IF(M$23&gt;K27,(K27-J27)*L27,(M$23-J27)*L27),0)</f>
        <v>0</v>
      </c>
      <c r="N27" s="11">
        <f>IF(IF(N$23&gt;K27,(K27-J27)*L27,(N$23-J27)*L27)&gt;0,IF(N$23&gt;K27,(K27-J27)*L27,(N$23-J27)*L27),0)</f>
        <v>0</v>
      </c>
      <c r="P27">
        <f t="shared" si="27"/>
        <v>59</v>
      </c>
      <c r="R27" s="392">
        <f t="shared" si="0"/>
        <v>0</v>
      </c>
      <c r="S27" s="141" t="str">
        <f t="shared" si="31"/>
        <v/>
      </c>
      <c r="T27" s="141" t="str">
        <f t="shared" si="10"/>
        <v/>
      </c>
      <c r="U27" s="141">
        <f t="shared" si="1"/>
        <v>0</v>
      </c>
      <c r="V27" s="8">
        <f t="shared" si="2"/>
        <v>0.35</v>
      </c>
      <c r="W27" s="141">
        <f t="shared" si="3"/>
        <v>0</v>
      </c>
      <c r="X27" s="141" t="str">
        <f t="shared" si="4"/>
        <v/>
      </c>
      <c r="Y27" s="141" t="str">
        <f t="shared" si="11"/>
        <v/>
      </c>
      <c r="AA27">
        <f t="shared" si="28"/>
        <v>59</v>
      </c>
      <c r="AC27" s="392">
        <f t="shared" si="5"/>
        <v>0</v>
      </c>
      <c r="AD27" s="141" t="str">
        <f t="shared" si="30"/>
        <v/>
      </c>
      <c r="AE27" s="141" t="str">
        <f t="shared" si="32"/>
        <v/>
      </c>
      <c r="AF27" s="141">
        <f t="shared" si="13"/>
        <v>0</v>
      </c>
      <c r="AG27" s="8">
        <v>0</v>
      </c>
      <c r="AH27" s="141">
        <f t="shared" si="6"/>
        <v>0</v>
      </c>
      <c r="AI27" s="141">
        <f t="shared" si="14"/>
        <v>0</v>
      </c>
      <c r="AJ27" s="141" t="str">
        <f t="shared" si="15"/>
        <v/>
      </c>
      <c r="AL27">
        <f t="shared" si="29"/>
        <v>59</v>
      </c>
      <c r="AN27" s="392">
        <f t="shared" si="7"/>
        <v>0</v>
      </c>
      <c r="AO27" s="141" t="str">
        <f t="shared" si="16"/>
        <v/>
      </c>
      <c r="AP27" s="141" t="str">
        <f t="shared" si="33"/>
        <v/>
      </c>
      <c r="AQ27" s="141">
        <f t="shared" si="18"/>
        <v>0</v>
      </c>
      <c r="AR27" s="8">
        <v>0</v>
      </c>
      <c r="AS27" s="141">
        <f t="shared" si="8"/>
        <v>0</v>
      </c>
      <c r="AT27" s="141">
        <f t="shared" si="19"/>
        <v>0</v>
      </c>
      <c r="AU27" s="141" t="str">
        <f t="shared" si="20"/>
        <v/>
      </c>
    </row>
    <row r="28" spans="1:47" x14ac:dyDescent="0.2">
      <c r="A28" s="1" t="s">
        <v>260</v>
      </c>
      <c r="B28" s="396">
        <f ca="1">'Roth comparison'!C13</f>
        <v>49865.98526315784</v>
      </c>
      <c r="D28" s="60">
        <f>'Tax Tables'!B29</f>
        <v>0</v>
      </c>
      <c r="E28" s="65">
        <f>'Tax Tables'!C29</f>
        <v>0</v>
      </c>
      <c r="F28" s="40">
        <f>'Tax Tables'!D29</f>
        <v>0</v>
      </c>
      <c r="G28" s="34">
        <f>IF(IF(G$23&gt;E28,(E28-D28)*F28,(G$23-D28)*F28)&gt;0,IF(G$23&gt;E28,(E28-D28)*F28,(G$23-D28)*F28),0)</f>
        <v>0</v>
      </c>
      <c r="H28" s="11">
        <f>IF(IF(H$23&gt;E28,(E28-D28)*F28,(H$23-D28)*F28)&gt;0,IF(H$23&gt;E28,(E28-D28)*F28,(H$23-D28)*F28),0)</f>
        <v>0</v>
      </c>
      <c r="I28" s="97"/>
      <c r="J28" s="60">
        <f>'Tax Tables'!F29</f>
        <v>0</v>
      </c>
      <c r="K28" s="65">
        <f>'Tax Tables'!G29</f>
        <v>0</v>
      </c>
      <c r="L28" s="29">
        <f>'Tax Tables'!H29</f>
        <v>0</v>
      </c>
      <c r="M28" s="34">
        <f>IF(IF(M$23&gt;K28,(K28-J28)*L28,(M$23-J28)*L28)&gt;0,IF(M$23&gt;K28,(K28-J28)*L28,(M$23-J28)*L28),0)</f>
        <v>0</v>
      </c>
      <c r="N28" s="11">
        <f>IF(IF(N$23&gt;K28,(K28-J28)*L28,(N$23-J28)*L28)&gt;0,IF(N$23&gt;K28,(K28-J28)*L28,(N$23-J28)*L28),0)</f>
        <v>0</v>
      </c>
      <c r="P28">
        <f t="shared" si="27"/>
        <v>60</v>
      </c>
      <c r="R28" s="392">
        <f t="shared" si="0"/>
        <v>0</v>
      </c>
      <c r="S28" s="141" t="str">
        <f t="shared" si="31"/>
        <v/>
      </c>
      <c r="T28" s="141" t="str">
        <f t="shared" si="10"/>
        <v/>
      </c>
      <c r="U28" s="141">
        <f t="shared" si="1"/>
        <v>0</v>
      </c>
      <c r="V28" s="8">
        <f t="shared" si="2"/>
        <v>0.35</v>
      </c>
      <c r="W28" s="141">
        <f t="shared" si="3"/>
        <v>0</v>
      </c>
      <c r="X28" s="141" t="str">
        <f t="shared" si="4"/>
        <v/>
      </c>
      <c r="Y28" s="141" t="str">
        <f t="shared" si="11"/>
        <v/>
      </c>
      <c r="AA28">
        <f t="shared" si="28"/>
        <v>60</v>
      </c>
      <c r="AC28" s="392">
        <f t="shared" si="5"/>
        <v>0</v>
      </c>
      <c r="AD28" s="141" t="str">
        <f t="shared" si="30"/>
        <v/>
      </c>
      <c r="AE28" s="141" t="str">
        <f t="shared" si="32"/>
        <v/>
      </c>
      <c r="AF28" s="141">
        <f t="shared" si="13"/>
        <v>0</v>
      </c>
      <c r="AG28" s="8">
        <v>0</v>
      </c>
      <c r="AH28" s="141">
        <f t="shared" si="6"/>
        <v>0</v>
      </c>
      <c r="AI28" s="141">
        <f t="shared" si="14"/>
        <v>0</v>
      </c>
      <c r="AJ28" s="141" t="str">
        <f t="shared" si="15"/>
        <v/>
      </c>
      <c r="AL28">
        <f t="shared" si="29"/>
        <v>60</v>
      </c>
      <c r="AN28" s="392">
        <f t="shared" si="7"/>
        <v>0</v>
      </c>
      <c r="AO28" s="141" t="str">
        <f t="shared" si="16"/>
        <v/>
      </c>
      <c r="AP28" s="141" t="str">
        <f t="shared" si="33"/>
        <v/>
      </c>
      <c r="AQ28" s="141">
        <f t="shared" si="18"/>
        <v>0</v>
      </c>
      <c r="AR28" s="8">
        <v>0</v>
      </c>
      <c r="AS28" s="141">
        <f t="shared" si="8"/>
        <v>0</v>
      </c>
      <c r="AT28" s="141">
        <f t="shared" si="19"/>
        <v>0</v>
      </c>
      <c r="AU28" s="141" t="str">
        <f t="shared" si="20"/>
        <v/>
      </c>
    </row>
    <row r="29" spans="1:47" ht="16" thickBot="1" x14ac:dyDescent="0.25">
      <c r="A29" s="339" t="s">
        <v>272</v>
      </c>
      <c r="B29" s="344">
        <f ca="1">AU68</f>
        <v>3532865.068111192</v>
      </c>
      <c r="D29" s="91">
        <f>'Tax Tables'!B30</f>
        <v>0</v>
      </c>
      <c r="E29" s="92">
        <f>'Tax Tables'!C30</f>
        <v>0</v>
      </c>
      <c r="F29" s="93">
        <f>'Tax Tables'!D30</f>
        <v>0</v>
      </c>
      <c r="G29" s="35">
        <f>IF(G23&gt;=D29,(G23-D29)*F29,0)</f>
        <v>0</v>
      </c>
      <c r="H29" s="14">
        <f>IF(H23&gt;=D29,(H23-D29)*F29,0)</f>
        <v>0</v>
      </c>
      <c r="I29" s="97"/>
      <c r="J29" s="91">
        <f>'Tax Tables'!F30</f>
        <v>0</v>
      </c>
      <c r="K29" s="92">
        <f>'Tax Tables'!G30</f>
        <v>0</v>
      </c>
      <c r="L29" s="94">
        <f>'Tax Tables'!H30</f>
        <v>0</v>
      </c>
      <c r="M29" s="35">
        <f>IF(M23&gt;=J29,(M23-J29)*L29,0)</f>
        <v>0</v>
      </c>
      <c r="N29" s="14">
        <f>IF(N23&gt;=J29,(N23-J29)*L29,0)</f>
        <v>0</v>
      </c>
      <c r="P29">
        <f t="shared" si="27"/>
        <v>61</v>
      </c>
      <c r="R29" s="392">
        <f t="shared" si="0"/>
        <v>0</v>
      </c>
      <c r="S29" s="141" t="str">
        <f t="shared" si="31"/>
        <v/>
      </c>
      <c r="T29" s="141" t="str">
        <f t="shared" si="10"/>
        <v/>
      </c>
      <c r="U29" s="141">
        <f t="shared" si="1"/>
        <v>0</v>
      </c>
      <c r="V29" s="8">
        <f t="shared" si="2"/>
        <v>0.35</v>
      </c>
      <c r="W29" s="141">
        <f t="shared" si="3"/>
        <v>0</v>
      </c>
      <c r="X29" s="141" t="str">
        <f t="shared" si="4"/>
        <v/>
      </c>
      <c r="Y29" s="141" t="str">
        <f t="shared" si="11"/>
        <v/>
      </c>
      <c r="AA29">
        <f t="shared" si="28"/>
        <v>61</v>
      </c>
      <c r="AC29" s="392">
        <f t="shared" si="5"/>
        <v>0</v>
      </c>
      <c r="AD29" s="141" t="str">
        <f>IF(AA29=$B$4,$B$16,IF(AD28="","",AE28*(1+$B$8)))</f>
        <v/>
      </c>
      <c r="AE29" s="141" t="str">
        <f t="shared" si="32"/>
        <v/>
      </c>
      <c r="AF29" s="141">
        <f t="shared" si="13"/>
        <v>0</v>
      </c>
      <c r="AG29" s="8">
        <v>0</v>
      </c>
      <c r="AH29" s="141">
        <f t="shared" si="6"/>
        <v>0</v>
      </c>
      <c r="AI29" s="141">
        <f t="shared" si="14"/>
        <v>0</v>
      </c>
      <c r="AJ29" s="141" t="str">
        <f t="shared" si="15"/>
        <v/>
      </c>
      <c r="AL29">
        <f t="shared" si="29"/>
        <v>61</v>
      </c>
      <c r="AN29" s="392">
        <f t="shared" si="7"/>
        <v>0</v>
      </c>
      <c r="AO29" s="141" t="str">
        <f t="shared" si="16"/>
        <v/>
      </c>
      <c r="AP29" s="141" t="str">
        <f t="shared" si="33"/>
        <v/>
      </c>
      <c r="AQ29" s="141">
        <f t="shared" si="18"/>
        <v>0</v>
      </c>
      <c r="AR29" s="8">
        <v>0</v>
      </c>
      <c r="AS29" s="141">
        <f t="shared" si="8"/>
        <v>0</v>
      </c>
      <c r="AT29" s="141">
        <f t="shared" si="19"/>
        <v>0</v>
      </c>
      <c r="AU29" s="141" t="str">
        <f t="shared" si="20"/>
        <v/>
      </c>
    </row>
    <row r="30" spans="1:47" ht="16" thickBot="1" x14ac:dyDescent="0.25">
      <c r="D30" s="96"/>
      <c r="E30" s="97"/>
      <c r="F30" s="97"/>
      <c r="G30" s="97"/>
      <c r="H30" s="97"/>
      <c r="I30" s="97"/>
      <c r="J30" s="97"/>
      <c r="K30" s="97"/>
      <c r="L30" s="97"/>
      <c r="M30" s="97"/>
      <c r="N30" s="98"/>
      <c r="P30">
        <f t="shared" si="27"/>
        <v>62</v>
      </c>
      <c r="R30" s="392">
        <f t="shared" si="0"/>
        <v>0</v>
      </c>
      <c r="S30" s="141" t="str">
        <f t="shared" si="31"/>
        <v/>
      </c>
      <c r="T30" s="141" t="str">
        <f t="shared" si="10"/>
        <v/>
      </c>
      <c r="U30" s="141">
        <f t="shared" si="1"/>
        <v>0</v>
      </c>
      <c r="V30" s="8">
        <f t="shared" si="2"/>
        <v>0.35</v>
      </c>
      <c r="W30" s="141">
        <f t="shared" si="3"/>
        <v>0</v>
      </c>
      <c r="X30" s="141" t="str">
        <f t="shared" si="4"/>
        <v/>
      </c>
      <c r="Y30" s="141" t="str">
        <f>IF(W30&gt;0, IF(Y29="",W30, (Y29*(1+$B$8)+W30)),"")</f>
        <v/>
      </c>
      <c r="AA30">
        <f t="shared" si="28"/>
        <v>62</v>
      </c>
      <c r="AC30" s="392">
        <f t="shared" si="5"/>
        <v>0</v>
      </c>
      <c r="AD30" s="141" t="str">
        <f t="shared" si="30"/>
        <v/>
      </c>
      <c r="AE30" s="141" t="str">
        <f t="shared" si="32"/>
        <v/>
      </c>
      <c r="AF30" s="141">
        <f t="shared" si="13"/>
        <v>0</v>
      </c>
      <c r="AG30" s="8">
        <v>0</v>
      </c>
      <c r="AH30" s="141">
        <f t="shared" si="6"/>
        <v>0</v>
      </c>
      <c r="AI30" s="141">
        <f t="shared" si="14"/>
        <v>0</v>
      </c>
      <c r="AJ30" s="141" t="str">
        <f>IF(AH30&gt;0, IF(AJ29="",AH30, (AJ29*(1+$B$8)+AH30)),"")</f>
        <v/>
      </c>
      <c r="AL30">
        <f t="shared" si="29"/>
        <v>62</v>
      </c>
      <c r="AN30" s="392">
        <f t="shared" si="7"/>
        <v>0</v>
      </c>
      <c r="AO30" s="141" t="str">
        <f t="shared" si="16"/>
        <v/>
      </c>
      <c r="AP30" s="141" t="str">
        <f t="shared" si="33"/>
        <v/>
      </c>
      <c r="AQ30" s="141">
        <f t="shared" si="18"/>
        <v>0</v>
      </c>
      <c r="AR30" s="8">
        <v>0</v>
      </c>
      <c r="AS30" s="141">
        <f t="shared" si="8"/>
        <v>0</v>
      </c>
      <c r="AT30" s="141">
        <f t="shared" si="19"/>
        <v>0</v>
      </c>
      <c r="AU30" s="141" t="str">
        <f>IF(AS30&gt;0, IF(AU29="",AS30, (AU29*(1+$B$8)+AS30)),"")</f>
        <v/>
      </c>
    </row>
    <row r="31" spans="1:47" ht="16" thickBot="1" x14ac:dyDescent="0.25">
      <c r="D31" s="96"/>
      <c r="E31" s="97"/>
      <c r="F31" s="422" t="s">
        <v>26</v>
      </c>
      <c r="G31" s="423"/>
      <c r="H31" s="104" t="s">
        <v>38</v>
      </c>
      <c r="I31" s="96"/>
      <c r="J31" s="97"/>
      <c r="K31" s="97"/>
      <c r="L31" s="422" t="s">
        <v>26</v>
      </c>
      <c r="M31" s="423"/>
      <c r="N31" s="104" t="s">
        <v>38</v>
      </c>
      <c r="P31">
        <f t="shared" si="27"/>
        <v>63</v>
      </c>
      <c r="R31" s="392">
        <f t="shared" si="0"/>
        <v>0</v>
      </c>
      <c r="S31" s="141" t="str">
        <f t="shared" si="31"/>
        <v/>
      </c>
      <c r="T31" s="141" t="str">
        <f t="shared" si="10"/>
        <v/>
      </c>
      <c r="U31" s="141">
        <f t="shared" si="1"/>
        <v>0</v>
      </c>
      <c r="V31" s="8">
        <f t="shared" si="2"/>
        <v>0.35</v>
      </c>
      <c r="W31" s="141">
        <f t="shared" si="3"/>
        <v>0</v>
      </c>
      <c r="X31" s="141" t="str">
        <f t="shared" si="4"/>
        <v/>
      </c>
      <c r="Y31" s="141" t="str">
        <f t="shared" si="11"/>
        <v/>
      </c>
      <c r="AA31">
        <f t="shared" si="28"/>
        <v>63</v>
      </c>
      <c r="AC31" s="392">
        <f t="shared" si="5"/>
        <v>0</v>
      </c>
      <c r="AD31" s="141" t="str">
        <f t="shared" si="30"/>
        <v/>
      </c>
      <c r="AE31" s="141" t="str">
        <f t="shared" si="32"/>
        <v/>
      </c>
      <c r="AF31" s="141">
        <f t="shared" si="13"/>
        <v>0</v>
      </c>
      <c r="AG31" s="8">
        <v>0</v>
      </c>
      <c r="AH31" s="141">
        <f t="shared" si="6"/>
        <v>0</v>
      </c>
      <c r="AI31" s="141">
        <f t="shared" si="14"/>
        <v>0</v>
      </c>
      <c r="AJ31" s="141" t="str">
        <f t="shared" ref="AJ31:AJ68" si="34">IF(AH31&gt;0, IF(AJ30="",AH31, (AJ30*(1+$B$8)+AH31)),"")</f>
        <v/>
      </c>
      <c r="AL31">
        <f t="shared" si="29"/>
        <v>63</v>
      </c>
      <c r="AN31" s="392">
        <f t="shared" si="7"/>
        <v>0</v>
      </c>
      <c r="AO31" s="141" t="str">
        <f t="shared" si="16"/>
        <v/>
      </c>
      <c r="AP31" s="141" t="str">
        <f t="shared" si="33"/>
        <v/>
      </c>
      <c r="AQ31" s="141">
        <f t="shared" si="18"/>
        <v>0</v>
      </c>
      <c r="AR31" s="8">
        <v>0</v>
      </c>
      <c r="AS31" s="141">
        <f t="shared" si="8"/>
        <v>0</v>
      </c>
      <c r="AT31" s="141">
        <f t="shared" si="19"/>
        <v>0</v>
      </c>
      <c r="AU31" s="141" t="str">
        <f t="shared" ref="AU31:AU68" si="35">IF(AS31&gt;0, IF(AU30="",AS31, (AU30*(1+$B$8)+AS31)),"")</f>
        <v/>
      </c>
    </row>
    <row r="32" spans="1:47" ht="16" thickBot="1" x14ac:dyDescent="0.25">
      <c r="D32" s="101"/>
      <c r="E32" s="100"/>
      <c r="F32" s="106">
        <f>SUM(G24:G29)</f>
        <v>25500</v>
      </c>
      <c r="G32" s="106">
        <f>SUM(H24:H29)</f>
        <v>12000</v>
      </c>
      <c r="H32" s="107">
        <f>F32-G32</f>
        <v>13500</v>
      </c>
      <c r="I32" s="101"/>
      <c r="J32" s="100"/>
      <c r="K32" s="100"/>
      <c r="L32" s="106">
        <f>SUM(M24:M29)</f>
        <v>25500</v>
      </c>
      <c r="M32" s="106">
        <f>SUM(N24:N29)</f>
        <v>12000</v>
      </c>
      <c r="N32" s="107">
        <f>L32-M32</f>
        <v>13500</v>
      </c>
      <c r="P32">
        <f t="shared" si="27"/>
        <v>64</v>
      </c>
      <c r="R32" s="392">
        <f t="shared" si="0"/>
        <v>0</v>
      </c>
      <c r="S32" s="141" t="str">
        <f t="shared" si="31"/>
        <v/>
      </c>
      <c r="T32" s="141" t="str">
        <f t="shared" si="10"/>
        <v/>
      </c>
      <c r="U32" s="141">
        <f t="shared" si="1"/>
        <v>0</v>
      </c>
      <c r="V32" s="8">
        <f t="shared" si="2"/>
        <v>0.35</v>
      </c>
      <c r="W32" s="141">
        <f t="shared" si="3"/>
        <v>0</v>
      </c>
      <c r="X32" s="141" t="str">
        <f t="shared" si="4"/>
        <v/>
      </c>
      <c r="Y32" s="141" t="str">
        <f t="shared" si="11"/>
        <v/>
      </c>
      <c r="AA32">
        <f t="shared" si="28"/>
        <v>64</v>
      </c>
      <c r="AC32" s="392">
        <f t="shared" si="5"/>
        <v>0</v>
      </c>
      <c r="AD32" s="141" t="str">
        <f t="shared" si="30"/>
        <v/>
      </c>
      <c r="AE32" s="141" t="str">
        <f t="shared" si="32"/>
        <v/>
      </c>
      <c r="AF32" s="141">
        <f t="shared" si="13"/>
        <v>0</v>
      </c>
      <c r="AG32" s="8">
        <v>0</v>
      </c>
      <c r="AH32" s="141">
        <f t="shared" si="6"/>
        <v>0</v>
      </c>
      <c r="AI32" s="141">
        <f t="shared" si="14"/>
        <v>0</v>
      </c>
      <c r="AJ32" s="141" t="str">
        <f t="shared" si="34"/>
        <v/>
      </c>
      <c r="AL32">
        <f t="shared" si="29"/>
        <v>64</v>
      </c>
      <c r="AN32" s="392">
        <f t="shared" si="7"/>
        <v>0</v>
      </c>
      <c r="AO32" s="141" t="str">
        <f t="shared" si="16"/>
        <v/>
      </c>
      <c r="AP32" s="141" t="str">
        <f t="shared" si="33"/>
        <v/>
      </c>
      <c r="AQ32" s="141">
        <f t="shared" si="18"/>
        <v>0</v>
      </c>
      <c r="AR32" s="8">
        <v>0</v>
      </c>
      <c r="AS32" s="141">
        <f t="shared" si="8"/>
        <v>0</v>
      </c>
      <c r="AT32" s="141">
        <f t="shared" si="19"/>
        <v>0</v>
      </c>
      <c r="AU32" s="141" t="str">
        <f t="shared" si="35"/>
        <v/>
      </c>
    </row>
    <row r="33" spans="1:47" x14ac:dyDescent="0.2">
      <c r="A33" t="s">
        <v>244</v>
      </c>
      <c r="P33">
        <f t="shared" si="27"/>
        <v>65</v>
      </c>
      <c r="R33" s="392">
        <f t="shared" si="0"/>
        <v>0.04</v>
      </c>
      <c r="S33" s="141">
        <f t="shared" si="31"/>
        <v>450000</v>
      </c>
      <c r="T33" s="141">
        <f t="shared" si="10"/>
        <v>432000</v>
      </c>
      <c r="U33" s="141">
        <f t="shared" si="1"/>
        <v>18000</v>
      </c>
      <c r="V33" s="8">
        <f t="shared" si="2"/>
        <v>0.35</v>
      </c>
      <c r="W33" s="141">
        <f t="shared" si="3"/>
        <v>11700</v>
      </c>
      <c r="X33" s="141" t="str">
        <f t="shared" si="4"/>
        <v/>
      </c>
      <c r="Y33" s="141">
        <f t="shared" si="11"/>
        <v>11700</v>
      </c>
      <c r="AA33">
        <f t="shared" si="28"/>
        <v>65</v>
      </c>
      <c r="AC33" s="392">
        <f t="shared" si="5"/>
        <v>0.04</v>
      </c>
      <c r="AD33" s="141">
        <f t="shared" si="30"/>
        <v>281032.54000000004</v>
      </c>
      <c r="AE33" s="141">
        <f t="shared" si="32"/>
        <v>269791.23840000003</v>
      </c>
      <c r="AF33" s="141">
        <f t="shared" si="13"/>
        <v>11241.301600000003</v>
      </c>
      <c r="AG33" s="8">
        <v>0</v>
      </c>
      <c r="AH33" s="141">
        <f t="shared" si="6"/>
        <v>11241.301600000003</v>
      </c>
      <c r="AI33" s="141">
        <f t="shared" si="14"/>
        <v>168967.46</v>
      </c>
      <c r="AJ33" s="141">
        <f t="shared" si="34"/>
        <v>11241.301600000003</v>
      </c>
      <c r="AL33">
        <f t="shared" si="29"/>
        <v>65</v>
      </c>
      <c r="AN33" s="392">
        <f t="shared" si="7"/>
        <v>0.04</v>
      </c>
      <c r="AO33" s="141">
        <f ca="1">IF(AL33=$B$4,$B$16+$B$28,IF(AO32="","",AP32*(1+$B$8)))</f>
        <v>330898.52526315791</v>
      </c>
      <c r="AP33" s="141">
        <f t="shared" ca="1" si="33"/>
        <v>317662.58425263158</v>
      </c>
      <c r="AQ33" s="141">
        <f t="shared" ca="1" si="18"/>
        <v>13235.941010526316</v>
      </c>
      <c r="AR33" s="8">
        <v>0</v>
      </c>
      <c r="AS33" s="141">
        <f t="shared" ca="1" si="8"/>
        <v>13235.941010526316</v>
      </c>
      <c r="AT33" s="141">
        <f t="shared" si="19"/>
        <v>168967.46</v>
      </c>
      <c r="AU33" s="141">
        <f t="shared" ca="1" si="35"/>
        <v>13235.941010526316</v>
      </c>
    </row>
    <row r="34" spans="1:47" x14ac:dyDescent="0.2">
      <c r="A34" t="s">
        <v>245</v>
      </c>
      <c r="B34" s="23"/>
      <c r="P34">
        <f t="shared" si="27"/>
        <v>66</v>
      </c>
      <c r="R34" s="392">
        <f t="shared" si="0"/>
        <v>0.04</v>
      </c>
      <c r="S34" s="141">
        <f t="shared" si="31"/>
        <v>462240</v>
      </c>
      <c r="T34" s="141">
        <f t="shared" si="10"/>
        <v>443750.39999999997</v>
      </c>
      <c r="U34" s="141">
        <f t="shared" si="1"/>
        <v>18489.600000000002</v>
      </c>
      <c r="V34" s="8">
        <f t="shared" si="2"/>
        <v>0.35</v>
      </c>
      <c r="W34" s="141">
        <f t="shared" si="3"/>
        <v>12018.240000000002</v>
      </c>
      <c r="X34" s="141">
        <f t="shared" si="4"/>
        <v>6471.3600000000006</v>
      </c>
      <c r="Y34" s="141">
        <f t="shared" si="11"/>
        <v>24537.24</v>
      </c>
      <c r="AA34">
        <f t="shared" si="28"/>
        <v>66</v>
      </c>
      <c r="AC34" s="392">
        <f t="shared" si="5"/>
        <v>0.04</v>
      </c>
      <c r="AD34" s="141">
        <f t="shared" si="30"/>
        <v>288676.62508800003</v>
      </c>
      <c r="AE34" s="141">
        <f t="shared" si="32"/>
        <v>277129.56008448004</v>
      </c>
      <c r="AF34" s="141">
        <f t="shared" si="13"/>
        <v>11547.065003520001</v>
      </c>
      <c r="AG34" s="8">
        <v>0</v>
      </c>
      <c r="AH34" s="141">
        <f t="shared" si="6"/>
        <v>11547.065003520001</v>
      </c>
      <c r="AI34" s="141">
        <f t="shared" si="14"/>
        <v>0</v>
      </c>
      <c r="AJ34" s="141">
        <f t="shared" si="34"/>
        <v>23575.257715520005</v>
      </c>
      <c r="AL34">
        <f t="shared" si="29"/>
        <v>66</v>
      </c>
      <c r="AN34" s="392">
        <f t="shared" si="7"/>
        <v>0.04</v>
      </c>
      <c r="AO34" s="141">
        <f t="shared" ca="1" si="16"/>
        <v>339898.96515031584</v>
      </c>
      <c r="AP34" s="141">
        <f t="shared" ca="1" si="33"/>
        <v>326303.00654430321</v>
      </c>
      <c r="AQ34" s="141">
        <f t="shared" ca="1" si="18"/>
        <v>13595.958606012633</v>
      </c>
      <c r="AR34" s="8">
        <v>0</v>
      </c>
      <c r="AS34" s="141">
        <f t="shared" ca="1" si="8"/>
        <v>13595.958606012633</v>
      </c>
      <c r="AT34" s="141">
        <f t="shared" si="19"/>
        <v>0</v>
      </c>
      <c r="AU34" s="141">
        <f t="shared" ca="1" si="35"/>
        <v>27758.415487275794</v>
      </c>
    </row>
    <row r="35" spans="1:47" x14ac:dyDescent="0.2">
      <c r="A35" t="s">
        <v>246</v>
      </c>
      <c r="P35">
        <f t="shared" si="27"/>
        <v>67</v>
      </c>
      <c r="R35" s="392">
        <f t="shared" si="0"/>
        <v>0.04</v>
      </c>
      <c r="S35" s="141">
        <f t="shared" si="31"/>
        <v>474812.92800000001</v>
      </c>
      <c r="T35" s="141">
        <f t="shared" si="10"/>
        <v>455820.41087999998</v>
      </c>
      <c r="U35" s="141">
        <f t="shared" ref="U35:U67" si="36">IFERROR(R35*S35,0)</f>
        <v>18992.51712</v>
      </c>
      <c r="V35" s="8">
        <f t="shared" si="2"/>
        <v>0.35</v>
      </c>
      <c r="W35" s="141">
        <f t="shared" ref="W35:W66" si="37">IF(P35&lt;$B$4,0,(1-V35)*U35)</f>
        <v>12345.136128</v>
      </c>
      <c r="X35" s="141">
        <f t="shared" ref="X35:X67" si="38">IF(P35&lt;$B$4,"",IF(P35=$B$4,"",IFERROR(U35*V35,0)))</f>
        <v>6647.3809919999994</v>
      </c>
      <c r="Y35" s="141">
        <f t="shared" si="11"/>
        <v>38599.982928000005</v>
      </c>
      <c r="AA35">
        <f t="shared" si="28"/>
        <v>67</v>
      </c>
      <c r="AC35" s="392">
        <f t="shared" si="5"/>
        <v>0.04</v>
      </c>
      <c r="AD35" s="141">
        <f t="shared" si="30"/>
        <v>296528.62929039367</v>
      </c>
      <c r="AE35" s="141">
        <f t="shared" si="32"/>
        <v>284667.48411877791</v>
      </c>
      <c r="AF35" s="141">
        <f t="shared" si="13"/>
        <v>11861.145171615746</v>
      </c>
      <c r="AG35" s="8">
        <v>0</v>
      </c>
      <c r="AH35" s="141">
        <f t="shared" si="6"/>
        <v>11861.145171615746</v>
      </c>
      <c r="AI35" s="141">
        <f t="shared" si="14"/>
        <v>0</v>
      </c>
      <c r="AJ35" s="141">
        <f t="shared" si="34"/>
        <v>37086.670927222149</v>
      </c>
      <c r="AL35">
        <f t="shared" si="29"/>
        <v>67</v>
      </c>
      <c r="AN35" s="392">
        <f t="shared" si="7"/>
        <v>0.04</v>
      </c>
      <c r="AO35" s="141">
        <f t="shared" ca="1" si="16"/>
        <v>349144.21700240445</v>
      </c>
      <c r="AP35" s="141">
        <f t="shared" ca="1" si="33"/>
        <v>335178.44832230825</v>
      </c>
      <c r="AQ35" s="141">
        <f t="shared" ca="1" si="18"/>
        <v>13965.768680096178</v>
      </c>
      <c r="AR35" s="8">
        <v>0</v>
      </c>
      <c r="AS35" s="141">
        <f t="shared" ca="1" si="8"/>
        <v>13965.768680096178</v>
      </c>
      <c r="AT35" s="141">
        <f t="shared" si="19"/>
        <v>0</v>
      </c>
      <c r="AU35" s="141">
        <f t="shared" ca="1" si="35"/>
        <v>43667.273251481281</v>
      </c>
    </row>
    <row r="36" spans="1:47" x14ac:dyDescent="0.2">
      <c r="P36">
        <f t="shared" si="27"/>
        <v>68</v>
      </c>
      <c r="R36" s="392">
        <f t="shared" si="0"/>
        <v>0.04</v>
      </c>
      <c r="S36" s="141">
        <f t="shared" si="31"/>
        <v>487727.83964160003</v>
      </c>
      <c r="T36" s="141">
        <f t="shared" si="10"/>
        <v>468218.72605593601</v>
      </c>
      <c r="U36" s="141">
        <f t="shared" si="36"/>
        <v>19509.113585664003</v>
      </c>
      <c r="V36" s="8">
        <f t="shared" si="2"/>
        <v>0.35</v>
      </c>
      <c r="W36" s="141">
        <f t="shared" si="37"/>
        <v>12680.923830681602</v>
      </c>
      <c r="X36" s="141">
        <f t="shared" si="38"/>
        <v>6828.1897549824007</v>
      </c>
      <c r="Y36" s="141">
        <f t="shared" si="11"/>
        <v>53982.905563641609</v>
      </c>
      <c r="AA36">
        <f t="shared" si="28"/>
        <v>68</v>
      </c>
      <c r="AC36" s="392">
        <f t="shared" si="5"/>
        <v>0.04</v>
      </c>
      <c r="AD36" s="141">
        <f t="shared" si="30"/>
        <v>304594.20800709235</v>
      </c>
      <c r="AE36" s="141">
        <f t="shared" si="32"/>
        <v>292410.43968680868</v>
      </c>
      <c r="AF36" s="141">
        <f t="shared" si="13"/>
        <v>12183.768320283694</v>
      </c>
      <c r="AG36" s="8">
        <v>0</v>
      </c>
      <c r="AH36" s="141">
        <f t="shared" si="6"/>
        <v>12183.768320283694</v>
      </c>
      <c r="AI36" s="141">
        <f t="shared" si="14"/>
        <v>0</v>
      </c>
      <c r="AJ36" s="141">
        <f t="shared" si="34"/>
        <v>51866.506212411397</v>
      </c>
      <c r="AL36">
        <f t="shared" si="29"/>
        <v>68</v>
      </c>
      <c r="AN36" s="392">
        <f t="shared" si="7"/>
        <v>0.04</v>
      </c>
      <c r="AO36" s="141">
        <f t="shared" ca="1" si="16"/>
        <v>358640.93970486987</v>
      </c>
      <c r="AP36" s="141">
        <f t="shared" ca="1" si="33"/>
        <v>344295.30211667507</v>
      </c>
      <c r="AQ36" s="141">
        <f t="shared" ca="1" si="18"/>
        <v>14345.637588194795</v>
      </c>
      <c r="AR36" s="8">
        <v>0</v>
      </c>
      <c r="AS36" s="141">
        <f t="shared" ca="1" si="8"/>
        <v>14345.637588194795</v>
      </c>
      <c r="AT36" s="141">
        <f t="shared" si="19"/>
        <v>0</v>
      </c>
      <c r="AU36" s="141">
        <f t="shared" ca="1" si="35"/>
        <v>61069.619967279774</v>
      </c>
    </row>
    <row r="37" spans="1:47" x14ac:dyDescent="0.2">
      <c r="P37">
        <f t="shared" si="27"/>
        <v>69</v>
      </c>
      <c r="R37" s="392">
        <f t="shared" si="0"/>
        <v>0.04</v>
      </c>
      <c r="S37" s="141">
        <f t="shared" si="31"/>
        <v>500994.03687985154</v>
      </c>
      <c r="T37" s="141">
        <f t="shared" si="10"/>
        <v>480954.27540465747</v>
      </c>
      <c r="U37" s="141">
        <f t="shared" si="36"/>
        <v>20039.761475194064</v>
      </c>
      <c r="V37" s="8">
        <f t="shared" si="2"/>
        <v>0.35</v>
      </c>
      <c r="W37" s="141">
        <f t="shared" si="37"/>
        <v>13025.844958876141</v>
      </c>
      <c r="X37" s="141">
        <f t="shared" si="38"/>
        <v>7013.9165163179223</v>
      </c>
      <c r="Y37" s="141">
        <f t="shared" si="11"/>
        <v>70787.55391197266</v>
      </c>
      <c r="AA37">
        <f t="shared" si="28"/>
        <v>69</v>
      </c>
      <c r="AC37" s="392">
        <f t="shared" si="5"/>
        <v>0.04</v>
      </c>
      <c r="AD37" s="141">
        <f t="shared" si="30"/>
        <v>312879.1704648853</v>
      </c>
      <c r="AE37" s="141">
        <f t="shared" si="32"/>
        <v>300364.00364628987</v>
      </c>
      <c r="AF37" s="141">
        <f t="shared" si="13"/>
        <v>12515.166818595413</v>
      </c>
      <c r="AG37" s="8">
        <v>0</v>
      </c>
      <c r="AH37" s="141">
        <f t="shared" si="6"/>
        <v>12515.166818595413</v>
      </c>
      <c r="AI37" s="141">
        <f t="shared" si="14"/>
        <v>0</v>
      </c>
      <c r="AJ37" s="141">
        <f t="shared" si="34"/>
        <v>68012.328465875617</v>
      </c>
      <c r="AL37">
        <f t="shared" si="29"/>
        <v>69</v>
      </c>
      <c r="AN37" s="392">
        <f t="shared" si="7"/>
        <v>0.04</v>
      </c>
      <c r="AO37" s="141">
        <f t="shared" ca="1" si="16"/>
        <v>368395.97326484235</v>
      </c>
      <c r="AP37" s="141">
        <f t="shared" ca="1" si="33"/>
        <v>353660.13433424867</v>
      </c>
      <c r="AQ37" s="141">
        <f t="shared" ca="1" si="18"/>
        <v>14735.838930593694</v>
      </c>
      <c r="AR37" s="8">
        <v>0</v>
      </c>
      <c r="AS37" s="141">
        <f t="shared" ca="1" si="8"/>
        <v>14735.838930593694</v>
      </c>
      <c r="AT37" s="141">
        <f t="shared" si="19"/>
        <v>0</v>
      </c>
      <c r="AU37" s="141">
        <f t="shared" ca="1" si="35"/>
        <v>80080.332295583066</v>
      </c>
    </row>
    <row r="38" spans="1:47" x14ac:dyDescent="0.2">
      <c r="P38">
        <f>P37+1</f>
        <v>70</v>
      </c>
      <c r="R38" s="392">
        <f t="shared" si="0"/>
        <v>0.04</v>
      </c>
      <c r="S38" s="141">
        <f t="shared" si="31"/>
        <v>514621.07468298351</v>
      </c>
      <c r="T38" s="141">
        <f t="shared" si="10"/>
        <v>494036.23169566417</v>
      </c>
      <c r="U38" s="141">
        <f t="shared" si="36"/>
        <v>20584.842987319342</v>
      </c>
      <c r="V38" s="8">
        <f t="shared" si="2"/>
        <v>0.35</v>
      </c>
      <c r="W38" s="141">
        <f t="shared" si="37"/>
        <v>13380.147941757572</v>
      </c>
      <c r="X38" s="141">
        <f t="shared" si="38"/>
        <v>7204.6950455617689</v>
      </c>
      <c r="Y38" s="141">
        <f t="shared" si="11"/>
        <v>89122.830627568328</v>
      </c>
      <c r="AA38">
        <f>AA37+1</f>
        <v>70</v>
      </c>
      <c r="AC38" s="392">
        <f t="shared" si="5"/>
        <v>0.04</v>
      </c>
      <c r="AD38" s="141">
        <f t="shared" si="30"/>
        <v>321389.48390153015</v>
      </c>
      <c r="AE38" s="141">
        <f t="shared" si="32"/>
        <v>308533.90454546892</v>
      </c>
      <c r="AF38" s="141">
        <f t="shared" si="13"/>
        <v>12855.579356061207</v>
      </c>
      <c r="AG38" s="8">
        <v>0</v>
      </c>
      <c r="AH38" s="141">
        <f t="shared" si="6"/>
        <v>12855.579356061207</v>
      </c>
      <c r="AI38" s="141">
        <f t="shared" si="14"/>
        <v>0</v>
      </c>
      <c r="AJ38" s="141">
        <f t="shared" si="34"/>
        <v>85628.770814548116</v>
      </c>
      <c r="AL38">
        <f>AL37+1</f>
        <v>70</v>
      </c>
      <c r="AN38" s="392">
        <f t="shared" si="7"/>
        <v>0.04</v>
      </c>
      <c r="AO38" s="141">
        <f t="shared" ca="1" si="16"/>
        <v>378416.34373764612</v>
      </c>
      <c r="AP38" s="141">
        <f t="shared" ca="1" si="33"/>
        <v>363279.68998814025</v>
      </c>
      <c r="AQ38" s="141">
        <f t="shared" ca="1" si="18"/>
        <v>15136.653749505846</v>
      </c>
      <c r="AR38" s="8">
        <v>0</v>
      </c>
      <c r="AS38" s="141">
        <f t="shared" ca="1" si="8"/>
        <v>15136.653749505846</v>
      </c>
      <c r="AT38" s="141">
        <f t="shared" si="19"/>
        <v>0</v>
      </c>
      <c r="AU38" s="141">
        <f t="shared" ca="1" si="35"/>
        <v>100822.60930577973</v>
      </c>
    </row>
    <row r="39" spans="1:47" x14ac:dyDescent="0.2">
      <c r="P39">
        <f t="shared" si="27"/>
        <v>71</v>
      </c>
      <c r="R39" s="392">
        <f t="shared" si="0"/>
        <v>0.04</v>
      </c>
      <c r="S39" s="141">
        <f t="shared" si="31"/>
        <v>528618.76791436074</v>
      </c>
      <c r="T39" s="141">
        <f t="shared" si="10"/>
        <v>507474.01719778631</v>
      </c>
      <c r="U39" s="141">
        <f t="shared" si="36"/>
        <v>21144.750716574428</v>
      </c>
      <c r="V39" s="8">
        <f t="shared" si="2"/>
        <v>0.35</v>
      </c>
      <c r="W39" s="141">
        <f t="shared" si="37"/>
        <v>13744.087965773379</v>
      </c>
      <c r="X39" s="141">
        <f t="shared" si="38"/>
        <v>7400.6627508010497</v>
      </c>
      <c r="Y39" s="141">
        <f t="shared" si="11"/>
        <v>109105.51673727149</v>
      </c>
      <c r="AA39">
        <f t="shared" si="28"/>
        <v>71</v>
      </c>
      <c r="AC39" s="392">
        <f t="shared" si="5"/>
        <v>0.04</v>
      </c>
      <c r="AD39" s="141">
        <f t="shared" si="30"/>
        <v>330131.27786365175</v>
      </c>
      <c r="AE39" s="141">
        <f t="shared" si="32"/>
        <v>316926.02674910566</v>
      </c>
      <c r="AF39" s="141">
        <f t="shared" si="13"/>
        <v>13205.25111454607</v>
      </c>
      <c r="AG39" s="8">
        <v>0</v>
      </c>
      <c r="AH39" s="141">
        <f t="shared" si="6"/>
        <v>13205.25111454607</v>
      </c>
      <c r="AI39" s="141">
        <f t="shared" si="14"/>
        <v>0</v>
      </c>
      <c r="AJ39" s="141">
        <f t="shared" si="34"/>
        <v>104828.03588611256</v>
      </c>
      <c r="AL39">
        <f t="shared" si="29"/>
        <v>71</v>
      </c>
      <c r="AN39" s="392">
        <f t="shared" si="7"/>
        <v>0.04</v>
      </c>
      <c r="AO39" s="141">
        <f t="shared" ca="1" si="16"/>
        <v>388709.26828731009</v>
      </c>
      <c r="AP39" s="141">
        <f t="shared" ca="1" si="33"/>
        <v>373160.89755581768</v>
      </c>
      <c r="AQ39" s="141">
        <f t="shared" ca="1" si="18"/>
        <v>15548.370731492403</v>
      </c>
      <c r="AR39" s="8">
        <v>0</v>
      </c>
      <c r="AS39" s="141">
        <f t="shared" ca="1" si="8"/>
        <v>15548.370731492403</v>
      </c>
      <c r="AT39" s="141">
        <f t="shared" si="19"/>
        <v>0</v>
      </c>
      <c r="AU39" s="141">
        <f t="shared" ca="1" si="35"/>
        <v>123428.56268867673</v>
      </c>
    </row>
    <row r="40" spans="1:47" x14ac:dyDescent="0.2">
      <c r="P40">
        <f t="shared" si="27"/>
        <v>72</v>
      </c>
      <c r="R40" s="392">
        <f t="shared" si="0"/>
        <v>0.04</v>
      </c>
      <c r="S40" s="141">
        <f t="shared" si="31"/>
        <v>542997.19840163132</v>
      </c>
      <c r="T40" s="141">
        <f t="shared" si="10"/>
        <v>521277.31046556606</v>
      </c>
      <c r="U40" s="141">
        <f t="shared" si="36"/>
        <v>21719.887936065254</v>
      </c>
      <c r="V40" s="8">
        <f t="shared" si="2"/>
        <v>0.35</v>
      </c>
      <c r="W40" s="141">
        <f t="shared" si="37"/>
        <v>14117.927158442415</v>
      </c>
      <c r="X40" s="141">
        <f t="shared" si="38"/>
        <v>7601.9607776228386</v>
      </c>
      <c r="Y40" s="141">
        <f t="shared" si="11"/>
        <v>130860.83006732292</v>
      </c>
      <c r="AA40">
        <f t="shared" si="28"/>
        <v>72</v>
      </c>
      <c r="AC40" s="392">
        <f t="shared" si="5"/>
        <v>0.04</v>
      </c>
      <c r="AD40" s="141">
        <f t="shared" si="30"/>
        <v>339110.84862154309</v>
      </c>
      <c r="AE40" s="141">
        <f t="shared" si="32"/>
        <v>325546.41467668134</v>
      </c>
      <c r="AF40" s="141">
        <f t="shared" si="13"/>
        <v>13564.433944861725</v>
      </c>
      <c r="AG40" s="8">
        <v>0</v>
      </c>
      <c r="AH40" s="141">
        <f t="shared" si="6"/>
        <v>13564.433944861725</v>
      </c>
      <c r="AI40" s="141">
        <f t="shared" si="14"/>
        <v>0</v>
      </c>
      <c r="AJ40" s="141">
        <f t="shared" si="34"/>
        <v>125730.43234300216</v>
      </c>
      <c r="AL40">
        <f t="shared" si="29"/>
        <v>72</v>
      </c>
      <c r="AN40" s="392">
        <f t="shared" si="7"/>
        <v>0.04</v>
      </c>
      <c r="AO40" s="141">
        <f t="shared" ca="1" si="16"/>
        <v>399282.16038472496</v>
      </c>
      <c r="AP40" s="141">
        <f t="shared" ca="1" si="33"/>
        <v>383310.87396933592</v>
      </c>
      <c r="AQ40" s="141">
        <f t="shared" ca="1" si="18"/>
        <v>15971.286415388999</v>
      </c>
      <c r="AR40" s="8">
        <v>0</v>
      </c>
      <c r="AS40" s="141">
        <f t="shared" ca="1" si="8"/>
        <v>15971.286415388999</v>
      </c>
      <c r="AT40" s="141">
        <f t="shared" si="19"/>
        <v>0</v>
      </c>
      <c r="AU40" s="141">
        <f t="shared" ca="1" si="35"/>
        <v>148039.84849227313</v>
      </c>
    </row>
    <row r="41" spans="1:47" x14ac:dyDescent="0.2">
      <c r="P41" s="339">
        <f t="shared" si="27"/>
        <v>73</v>
      </c>
      <c r="Q41" s="8">
        <v>3.7735849056603772E-2</v>
      </c>
      <c r="R41" s="392">
        <f t="shared" si="0"/>
        <v>0.04</v>
      </c>
      <c r="S41" s="141">
        <f t="shared" si="31"/>
        <v>557766.72219815571</v>
      </c>
      <c r="T41" s="141">
        <f t="shared" si="10"/>
        <v>535456.05331022944</v>
      </c>
      <c r="U41" s="141">
        <f t="shared" si="36"/>
        <v>22310.668887926229</v>
      </c>
      <c r="V41" s="8">
        <f>$B$21</f>
        <v>0.35</v>
      </c>
      <c r="W41" s="141">
        <f t="shared" si="37"/>
        <v>14501.93477715205</v>
      </c>
      <c r="X41" s="141">
        <f t="shared" si="38"/>
        <v>7808.7341107741795</v>
      </c>
      <c r="Y41" s="141">
        <f t="shared" si="11"/>
        <v>154523.02294918758</v>
      </c>
      <c r="AA41" s="339">
        <f t="shared" si="28"/>
        <v>73</v>
      </c>
      <c r="AB41" s="8">
        <v>3.7735849056603772E-2</v>
      </c>
      <c r="AC41" s="392">
        <f t="shared" si="5"/>
        <v>0.04</v>
      </c>
      <c r="AD41" s="141">
        <f t="shared" si="30"/>
        <v>348334.66370404908</v>
      </c>
      <c r="AE41" s="141">
        <f t="shared" si="32"/>
        <v>334401.2771558871</v>
      </c>
      <c r="AF41" s="141">
        <f t="shared" si="13"/>
        <v>13933.386548161963</v>
      </c>
      <c r="AG41" s="8">
        <v>0</v>
      </c>
      <c r="AH41" s="141">
        <f t="shared" si="6"/>
        <v>13933.386548161963</v>
      </c>
      <c r="AI41" s="141">
        <f t="shared" si="14"/>
        <v>0</v>
      </c>
      <c r="AJ41" s="141">
        <f t="shared" si="34"/>
        <v>148464.94915517428</v>
      </c>
      <c r="AL41" s="339">
        <f t="shared" si="29"/>
        <v>73</v>
      </c>
      <c r="AM41" s="8">
        <v>3.7735849056603772E-2</v>
      </c>
      <c r="AN41" s="392">
        <f t="shared" si="7"/>
        <v>0.04</v>
      </c>
      <c r="AO41" s="141">
        <f t="shared" ca="1" si="16"/>
        <v>410142.63514718949</v>
      </c>
      <c r="AP41" s="141">
        <f t="shared" ca="1" si="33"/>
        <v>393736.92974130192</v>
      </c>
      <c r="AQ41" s="141">
        <f t="shared" ca="1" si="18"/>
        <v>16405.70540588758</v>
      </c>
      <c r="AR41" s="8">
        <v>0</v>
      </c>
      <c r="AS41" s="141">
        <f t="shared" ca="1" si="8"/>
        <v>16405.70540588758</v>
      </c>
      <c r="AT41" s="141">
        <f t="shared" si="19"/>
        <v>0</v>
      </c>
      <c r="AU41" s="141">
        <f t="shared" ca="1" si="35"/>
        <v>174808.34329261986</v>
      </c>
    </row>
    <row r="42" spans="1:47" x14ac:dyDescent="0.2">
      <c r="P42">
        <f t="shared" si="27"/>
        <v>74</v>
      </c>
      <c r="Q42" s="8">
        <v>3.9215686274509803E-2</v>
      </c>
      <c r="R42" s="392">
        <f t="shared" si="0"/>
        <v>0.04</v>
      </c>
      <c r="S42" s="141">
        <f t="shared" si="31"/>
        <v>572937.97704194556</v>
      </c>
      <c r="T42" s="141">
        <f t="shared" si="10"/>
        <v>550020.45796026767</v>
      </c>
      <c r="U42" s="141">
        <f t="shared" si="36"/>
        <v>22917.519081677823</v>
      </c>
      <c r="V42" s="8">
        <f t="shared" ref="V42:V68" si="39">$B$21</f>
        <v>0.35</v>
      </c>
      <c r="W42" s="141">
        <f t="shared" si="37"/>
        <v>14896.387403090586</v>
      </c>
      <c r="X42" s="141">
        <f t="shared" si="38"/>
        <v>8021.1316785872377</v>
      </c>
      <c r="Y42" s="141">
        <f t="shared" si="11"/>
        <v>180236.02195872128</v>
      </c>
      <c r="AA42">
        <f t="shared" si="28"/>
        <v>74</v>
      </c>
      <c r="AB42" s="8">
        <v>3.9215686274509803E-2</v>
      </c>
      <c r="AC42" s="392">
        <f t="shared" si="5"/>
        <v>0.04</v>
      </c>
      <c r="AD42" s="141">
        <f t="shared" si="30"/>
        <v>357809.36655679921</v>
      </c>
      <c r="AE42" s="141">
        <f t="shared" si="32"/>
        <v>343496.99189452722</v>
      </c>
      <c r="AF42" s="141">
        <f t="shared" si="13"/>
        <v>14312.374662271968</v>
      </c>
      <c r="AG42" s="8">
        <v>0</v>
      </c>
      <c r="AH42" s="141">
        <f t="shared" si="6"/>
        <v>14312.374662271968</v>
      </c>
      <c r="AI42" s="141">
        <f t="shared" si="14"/>
        <v>0</v>
      </c>
      <c r="AJ42" s="141">
        <f t="shared" si="34"/>
        <v>173169.87025830845</v>
      </c>
      <c r="AL42">
        <f t="shared" si="29"/>
        <v>74</v>
      </c>
      <c r="AM42" s="8">
        <v>3.9215686274509803E-2</v>
      </c>
      <c r="AN42" s="392">
        <f t="shared" si="7"/>
        <v>0.04</v>
      </c>
      <c r="AO42" s="141">
        <f t="shared" ca="1" si="16"/>
        <v>421298.51482319308</v>
      </c>
      <c r="AP42" s="141">
        <f t="shared" ca="1" si="33"/>
        <v>404446.57423026534</v>
      </c>
      <c r="AQ42" s="141">
        <f t="shared" ca="1" si="18"/>
        <v>16851.940592927724</v>
      </c>
      <c r="AR42" s="8">
        <v>0</v>
      </c>
      <c r="AS42" s="141">
        <f t="shared" ca="1" si="8"/>
        <v>16851.940592927724</v>
      </c>
      <c r="AT42" s="141">
        <f t="shared" si="19"/>
        <v>0</v>
      </c>
      <c r="AU42" s="141">
        <f t="shared" ca="1" si="35"/>
        <v>203896.86791603098</v>
      </c>
    </row>
    <row r="43" spans="1:47" x14ac:dyDescent="0.2">
      <c r="P43">
        <f t="shared" si="27"/>
        <v>75</v>
      </c>
      <c r="Q43" s="8">
        <v>4.065040650406504E-2</v>
      </c>
      <c r="R43" s="392">
        <f t="shared" si="0"/>
        <v>4.065040650406504E-2</v>
      </c>
      <c r="S43" s="141">
        <f t="shared" si="31"/>
        <v>588521.89001748641</v>
      </c>
      <c r="T43" s="141">
        <f t="shared" si="10"/>
        <v>564598.23595173494</v>
      </c>
      <c r="U43" s="141">
        <f t="shared" si="36"/>
        <v>23923.654065751478</v>
      </c>
      <c r="V43" s="8">
        <f t="shared" si="39"/>
        <v>0.35</v>
      </c>
      <c r="W43" s="141">
        <f t="shared" si="37"/>
        <v>15550.375142738461</v>
      </c>
      <c r="X43" s="141">
        <f t="shared" si="38"/>
        <v>8373.2789230130165</v>
      </c>
      <c r="Y43" s="141">
        <f t="shared" si="11"/>
        <v>208402.91863857023</v>
      </c>
      <c r="AA43">
        <f t="shared" si="28"/>
        <v>75</v>
      </c>
      <c r="AB43" s="8">
        <v>4.065040650406504E-2</v>
      </c>
      <c r="AC43" s="392">
        <f t="shared" si="5"/>
        <v>4.065040650406504E-2</v>
      </c>
      <c r="AD43" s="141">
        <f t="shared" si="30"/>
        <v>367541.78132714413</v>
      </c>
      <c r="AE43" s="141">
        <f t="shared" si="32"/>
        <v>352601.05850896752</v>
      </c>
      <c r="AF43" s="141">
        <f t="shared" si="13"/>
        <v>14940.722818176589</v>
      </c>
      <c r="AG43" s="8">
        <v>0</v>
      </c>
      <c r="AH43" s="141">
        <f t="shared" si="6"/>
        <v>14940.722818176589</v>
      </c>
      <c r="AI43" s="141">
        <f t="shared" si="14"/>
        <v>0</v>
      </c>
      <c r="AJ43" s="141">
        <f t="shared" si="34"/>
        <v>200232.48399456663</v>
      </c>
      <c r="AL43">
        <f t="shared" si="29"/>
        <v>75</v>
      </c>
      <c r="AM43" s="8">
        <v>4.065040650406504E-2</v>
      </c>
      <c r="AN43" s="392">
        <f t="shared" si="7"/>
        <v>4.065040650406504E-2</v>
      </c>
      <c r="AO43" s="141">
        <f t="shared" ca="1" si="16"/>
        <v>432757.83442638395</v>
      </c>
      <c r="AP43" s="141">
        <f t="shared" ca="1" si="33"/>
        <v>415166.05253913259</v>
      </c>
      <c r="AQ43" s="141">
        <f t="shared" ca="1" si="18"/>
        <v>17591.781887251378</v>
      </c>
      <c r="AR43" s="8">
        <v>0</v>
      </c>
      <c r="AS43" s="141">
        <f t="shared" ca="1" si="8"/>
        <v>17591.781887251378</v>
      </c>
      <c r="AT43" s="141">
        <f t="shared" si="19"/>
        <v>0</v>
      </c>
      <c r="AU43" s="141">
        <f t="shared" ca="1" si="35"/>
        <v>235761.43055740456</v>
      </c>
    </row>
    <row r="44" spans="1:47" x14ac:dyDescent="0.2">
      <c r="P44">
        <f t="shared" si="27"/>
        <v>76</v>
      </c>
      <c r="Q44" s="8">
        <v>4.2194092827004218E-2</v>
      </c>
      <c r="R44" s="392">
        <f t="shared" si="0"/>
        <v>4.2194092827004218E-2</v>
      </c>
      <c r="S44" s="141">
        <f t="shared" si="31"/>
        <v>604120.11246835638</v>
      </c>
      <c r="T44" s="141">
        <f t="shared" si="10"/>
        <v>578629.8123642063</v>
      </c>
      <c r="U44" s="141">
        <f t="shared" si="36"/>
        <v>25490.300104150057</v>
      </c>
      <c r="V44" s="8">
        <f t="shared" si="39"/>
        <v>0.35</v>
      </c>
      <c r="W44" s="141">
        <f t="shared" si="37"/>
        <v>16568.695067697539</v>
      </c>
      <c r="X44" s="141">
        <f t="shared" si="38"/>
        <v>8921.6050364525199</v>
      </c>
      <c r="Y44" s="141">
        <f t="shared" si="11"/>
        <v>239559.81801096769</v>
      </c>
      <c r="AA44">
        <f t="shared" si="28"/>
        <v>76</v>
      </c>
      <c r="AB44" s="8">
        <v>4.2194092827004218E-2</v>
      </c>
      <c r="AC44" s="392">
        <f t="shared" si="5"/>
        <v>4.2194092827004218E-2</v>
      </c>
      <c r="AD44" s="141">
        <f t="shared" si="30"/>
        <v>377283.13260459527</v>
      </c>
      <c r="AE44" s="141">
        <f t="shared" si="32"/>
        <v>361364.01308541402</v>
      </c>
      <c r="AF44" s="141">
        <f t="shared" si="13"/>
        <v>15919.119519181235</v>
      </c>
      <c r="AG44" s="8">
        <v>0</v>
      </c>
      <c r="AH44" s="141">
        <f t="shared" si="6"/>
        <v>15919.119519181235</v>
      </c>
      <c r="AI44" s="141">
        <f t="shared" si="14"/>
        <v>0</v>
      </c>
      <c r="AJ44" s="141">
        <f t="shared" si="34"/>
        <v>230167.87739336753</v>
      </c>
      <c r="AL44">
        <f t="shared" si="29"/>
        <v>76</v>
      </c>
      <c r="AM44" s="8">
        <v>4.2194092827004218E-2</v>
      </c>
      <c r="AN44" s="392">
        <f t="shared" si="7"/>
        <v>4.2194092827004218E-2</v>
      </c>
      <c r="AO44" s="141">
        <f t="shared" ca="1" si="16"/>
        <v>444227.67621687189</v>
      </c>
      <c r="AP44" s="141">
        <f t="shared" ca="1" si="33"/>
        <v>425483.89241025283</v>
      </c>
      <c r="AQ44" s="141">
        <f t="shared" ca="1" si="18"/>
        <v>18743.783806619067</v>
      </c>
      <c r="AR44" s="8">
        <v>0</v>
      </c>
      <c r="AS44" s="141">
        <f t="shared" ca="1" si="8"/>
        <v>18743.783806619067</v>
      </c>
      <c r="AT44" s="141">
        <f t="shared" si="19"/>
        <v>0</v>
      </c>
      <c r="AU44" s="141">
        <f t="shared" ca="1" si="35"/>
        <v>271008.51450304198</v>
      </c>
    </row>
    <row r="45" spans="1:47" x14ac:dyDescent="0.2">
      <c r="P45">
        <f t="shared" si="27"/>
        <v>77</v>
      </c>
      <c r="Q45" s="8">
        <v>4.3668122270742363E-2</v>
      </c>
      <c r="R45" s="392">
        <f t="shared" si="0"/>
        <v>4.3668122270742363E-2</v>
      </c>
      <c r="S45" s="141">
        <f t="shared" si="31"/>
        <v>619133.89922970079</v>
      </c>
      <c r="T45" s="141">
        <f t="shared" si="10"/>
        <v>592097.4844161768</v>
      </c>
      <c r="U45" s="141">
        <f t="shared" si="36"/>
        <v>27036.414813524054</v>
      </c>
      <c r="V45" s="8">
        <f t="shared" si="39"/>
        <v>0.35</v>
      </c>
      <c r="W45" s="141">
        <f t="shared" si="37"/>
        <v>17573.669628790634</v>
      </c>
      <c r="X45" s="141">
        <f t="shared" si="38"/>
        <v>9462.7451847334178</v>
      </c>
      <c r="Y45" s="141">
        <f t="shared" si="11"/>
        <v>273902.67490052606</v>
      </c>
      <c r="AA45">
        <f t="shared" si="28"/>
        <v>77</v>
      </c>
      <c r="AB45" s="8">
        <v>4.3668122270742363E-2</v>
      </c>
      <c r="AC45" s="392">
        <f t="shared" si="5"/>
        <v>4.3668122270742363E-2</v>
      </c>
      <c r="AD45" s="141">
        <f t="shared" si="30"/>
        <v>386659.49400139303</v>
      </c>
      <c r="AE45" s="141">
        <f t="shared" si="32"/>
        <v>369774.79994019686</v>
      </c>
      <c r="AF45" s="141">
        <f t="shared" si="13"/>
        <v>16884.694061196205</v>
      </c>
      <c r="AG45" s="8">
        <v>0</v>
      </c>
      <c r="AH45" s="141">
        <f t="shared" si="6"/>
        <v>16884.694061196205</v>
      </c>
      <c r="AI45" s="141">
        <f t="shared" si="14"/>
        <v>0</v>
      </c>
      <c r="AJ45" s="141">
        <f t="shared" si="34"/>
        <v>263164.32287209947</v>
      </c>
      <c r="AL45">
        <f t="shared" si="29"/>
        <v>77</v>
      </c>
      <c r="AM45" s="8">
        <v>4.3668122270742363E-2</v>
      </c>
      <c r="AN45" s="392">
        <f t="shared" si="7"/>
        <v>4.3668122270742363E-2</v>
      </c>
      <c r="AO45" s="141">
        <f t="shared" ca="1" si="16"/>
        <v>455267.76487897057</v>
      </c>
      <c r="AP45" s="141">
        <f t="shared" ca="1" si="33"/>
        <v>435387.07645630813</v>
      </c>
      <c r="AQ45" s="141">
        <f t="shared" ca="1" si="18"/>
        <v>19880.688422662472</v>
      </c>
      <c r="AR45" s="8">
        <v>0</v>
      </c>
      <c r="AS45" s="141">
        <f t="shared" ca="1" si="8"/>
        <v>19880.688422662472</v>
      </c>
      <c r="AT45" s="141">
        <f t="shared" si="19"/>
        <v>0</v>
      </c>
      <c r="AU45" s="141">
        <f t="shared" ca="1" si="35"/>
        <v>309859.79894091742</v>
      </c>
    </row>
    <row r="46" spans="1:47" x14ac:dyDescent="0.2">
      <c r="P46">
        <f t="shared" si="27"/>
        <v>78</v>
      </c>
      <c r="Q46" s="8">
        <v>4.5454545454545456E-2</v>
      </c>
      <c r="R46" s="392">
        <f t="shared" si="0"/>
        <v>4.5454545454545456E-2</v>
      </c>
      <c r="S46" s="141">
        <f t="shared" si="31"/>
        <v>633544.30832530919</v>
      </c>
      <c r="T46" s="141">
        <f t="shared" si="10"/>
        <v>604746.83976506791</v>
      </c>
      <c r="U46" s="141">
        <f t="shared" si="36"/>
        <v>28797.468560241326</v>
      </c>
      <c r="V46" s="8">
        <f t="shared" si="39"/>
        <v>0.35</v>
      </c>
      <c r="W46" s="141">
        <f t="shared" si="37"/>
        <v>18718.354564156863</v>
      </c>
      <c r="X46" s="141">
        <f t="shared" si="38"/>
        <v>10079.113996084463</v>
      </c>
      <c r="Y46" s="141">
        <f t="shared" si="11"/>
        <v>311794.21670771978</v>
      </c>
      <c r="AA46">
        <f t="shared" si="28"/>
        <v>78</v>
      </c>
      <c r="AB46" s="8">
        <v>4.5454545454545456E-2</v>
      </c>
      <c r="AC46" s="392">
        <f t="shared" si="5"/>
        <v>4.5454545454545456E-2</v>
      </c>
      <c r="AD46" s="141">
        <f t="shared" si="30"/>
        <v>395659.03593601065</v>
      </c>
      <c r="AE46" s="141">
        <f t="shared" si="32"/>
        <v>377674.53430255566</v>
      </c>
      <c r="AF46" s="141">
        <f t="shared" si="13"/>
        <v>17984.501633455031</v>
      </c>
      <c r="AG46" s="8">
        <v>0</v>
      </c>
      <c r="AH46" s="141">
        <f t="shared" si="6"/>
        <v>17984.501633455031</v>
      </c>
      <c r="AI46" s="141">
        <f t="shared" si="14"/>
        <v>0</v>
      </c>
      <c r="AJ46" s="141">
        <f t="shared" si="34"/>
        <v>299570.3271066015</v>
      </c>
      <c r="AL46">
        <f t="shared" si="29"/>
        <v>78</v>
      </c>
      <c r="AM46" s="8">
        <v>4.5454545454545456E-2</v>
      </c>
      <c r="AN46" s="392">
        <f t="shared" si="7"/>
        <v>4.5454545454545456E-2</v>
      </c>
      <c r="AO46" s="141">
        <f t="shared" ca="1" si="16"/>
        <v>465864.17180824972</v>
      </c>
      <c r="AP46" s="141">
        <f t="shared" ca="1" si="33"/>
        <v>444688.5276351475</v>
      </c>
      <c r="AQ46" s="141">
        <f t="shared" ca="1" si="18"/>
        <v>21175.644173102261</v>
      </c>
      <c r="AR46" s="8">
        <v>0</v>
      </c>
      <c r="AS46" s="141">
        <f t="shared" ca="1" si="8"/>
        <v>21175.644173102261</v>
      </c>
      <c r="AT46" s="141">
        <f t="shared" si="19"/>
        <v>0</v>
      </c>
      <c r="AU46" s="141">
        <f t="shared" ca="1" si="35"/>
        <v>352725.62903988396</v>
      </c>
    </row>
    <row r="47" spans="1:47" x14ac:dyDescent="0.2">
      <c r="P47">
        <f t="shared" si="27"/>
        <v>79</v>
      </c>
      <c r="Q47" s="8">
        <v>4.7393364928909949E-2</v>
      </c>
      <c r="R47" s="392">
        <f t="shared" si="0"/>
        <v>4.7393364928909949E-2</v>
      </c>
      <c r="S47" s="141">
        <f t="shared" si="31"/>
        <v>647079.1185486227</v>
      </c>
      <c r="T47" s="141">
        <f t="shared" si="10"/>
        <v>616411.86174537044</v>
      </c>
      <c r="U47" s="141">
        <f t="shared" si="36"/>
        <v>30667.256803252258</v>
      </c>
      <c r="V47" s="8">
        <f t="shared" si="39"/>
        <v>0.35</v>
      </c>
      <c r="W47" s="141">
        <f t="shared" si="37"/>
        <v>19933.716922113967</v>
      </c>
      <c r="X47" s="141">
        <f t="shared" si="38"/>
        <v>10733.539881138289</v>
      </c>
      <c r="Y47" s="141">
        <f t="shared" si="11"/>
        <v>353553.52879937412</v>
      </c>
      <c r="AA47">
        <f t="shared" si="28"/>
        <v>79</v>
      </c>
      <c r="AB47" s="8">
        <v>4.7393364928909949E-2</v>
      </c>
      <c r="AC47" s="392">
        <f t="shared" si="5"/>
        <v>4.7393364928909949E-2</v>
      </c>
      <c r="AD47" s="141">
        <f t="shared" si="30"/>
        <v>404111.75170373457</v>
      </c>
      <c r="AE47" s="141">
        <f t="shared" si="32"/>
        <v>384959.53598317842</v>
      </c>
      <c r="AF47" s="141">
        <f t="shared" si="13"/>
        <v>19152.215720556138</v>
      </c>
      <c r="AG47" s="8">
        <v>0</v>
      </c>
      <c r="AH47" s="141">
        <f t="shared" si="6"/>
        <v>19152.215720556138</v>
      </c>
      <c r="AI47" s="141">
        <f t="shared" si="14"/>
        <v>0</v>
      </c>
      <c r="AJ47" s="141">
        <f t="shared" si="34"/>
        <v>339692.4657246198</v>
      </c>
      <c r="AL47">
        <f t="shared" si="29"/>
        <v>79</v>
      </c>
      <c r="AM47" s="8">
        <v>4.7393364928909949E-2</v>
      </c>
      <c r="AN47" s="392">
        <f t="shared" si="7"/>
        <v>4.7393364928909949E-2</v>
      </c>
      <c r="AO47" s="141">
        <f t="shared" ca="1" si="16"/>
        <v>475816.72456960788</v>
      </c>
      <c r="AP47" s="141">
        <f t="shared" ca="1" si="33"/>
        <v>453266.16890280182</v>
      </c>
      <c r="AQ47" s="141">
        <f t="shared" ca="1" si="18"/>
        <v>22550.55566680606</v>
      </c>
      <c r="AR47" s="8">
        <v>0</v>
      </c>
      <c r="AS47" s="141">
        <f t="shared" ca="1" si="8"/>
        <v>22550.55566680606</v>
      </c>
      <c r="AT47" s="141">
        <f t="shared" si="19"/>
        <v>0</v>
      </c>
      <c r="AU47" s="141">
        <f t="shared" ca="1" si="35"/>
        <v>399966.97873948194</v>
      </c>
    </row>
    <row r="48" spans="1:47" x14ac:dyDescent="0.2">
      <c r="P48">
        <f t="shared" si="27"/>
        <v>80</v>
      </c>
      <c r="Q48" s="8">
        <v>4.9504950495049507E-2</v>
      </c>
      <c r="R48" s="392">
        <f t="shared" si="0"/>
        <v>4.9504950495049507E-2</v>
      </c>
      <c r="S48" s="141">
        <f t="shared" si="31"/>
        <v>659560.69206754642</v>
      </c>
      <c r="T48" s="141">
        <f t="shared" si="10"/>
        <v>626909.17265826196</v>
      </c>
      <c r="U48" s="141">
        <f t="shared" si="36"/>
        <v>32651.519409284479</v>
      </c>
      <c r="V48" s="8">
        <f t="shared" si="39"/>
        <v>0.35</v>
      </c>
      <c r="W48" s="141">
        <f t="shared" si="37"/>
        <v>21223.487616034912</v>
      </c>
      <c r="X48" s="141">
        <f t="shared" si="38"/>
        <v>11428.031793249567</v>
      </c>
      <c r="Y48" s="141">
        <f t="shared" si="11"/>
        <v>399525.76343136525</v>
      </c>
      <c r="AA48">
        <f t="shared" si="28"/>
        <v>80</v>
      </c>
      <c r="AB48" s="8">
        <v>4.9504950495049507E-2</v>
      </c>
      <c r="AC48" s="392">
        <f t="shared" si="5"/>
        <v>4.9504950495049507E-2</v>
      </c>
      <c r="AD48" s="141">
        <f t="shared" si="30"/>
        <v>411906.70350200095</v>
      </c>
      <c r="AE48" s="141">
        <f t="shared" si="32"/>
        <v>391515.28253655531</v>
      </c>
      <c r="AF48" s="141">
        <f t="shared" si="13"/>
        <v>20391.420965445592</v>
      </c>
      <c r="AG48" s="8">
        <v>0</v>
      </c>
      <c r="AH48" s="141">
        <f t="shared" si="6"/>
        <v>20391.420965445592</v>
      </c>
      <c r="AI48" s="141">
        <f t="shared" si="14"/>
        <v>0</v>
      </c>
      <c r="AJ48" s="141">
        <f t="shared" si="34"/>
        <v>383862.35929078877</v>
      </c>
      <c r="AL48">
        <f t="shared" si="29"/>
        <v>80</v>
      </c>
      <c r="AM48" s="8">
        <v>4.9504950495049507E-2</v>
      </c>
      <c r="AN48" s="392">
        <f t="shared" si="7"/>
        <v>4.9504950495049507E-2</v>
      </c>
      <c r="AO48" s="141">
        <f t="shared" ca="1" si="16"/>
        <v>484994.80072599795</v>
      </c>
      <c r="AP48" s="141">
        <f t="shared" ca="1" si="33"/>
        <v>460985.15712570102</v>
      </c>
      <c r="AQ48" s="141">
        <f t="shared" ca="1" si="18"/>
        <v>24009.643600296928</v>
      </c>
      <c r="AR48" s="8">
        <v>0</v>
      </c>
      <c r="AS48" s="141">
        <f t="shared" ca="1" si="8"/>
        <v>24009.643600296928</v>
      </c>
      <c r="AT48" s="141">
        <f t="shared" si="19"/>
        <v>0</v>
      </c>
      <c r="AU48" s="141">
        <f t="shared" ca="1" si="35"/>
        <v>451974.31085154263</v>
      </c>
    </row>
    <row r="49" spans="16:47" x14ac:dyDescent="0.2">
      <c r="P49">
        <f t="shared" si="27"/>
        <v>81</v>
      </c>
      <c r="Q49" s="8">
        <v>5.1546391752577324E-2</v>
      </c>
      <c r="R49" s="392">
        <f t="shared" si="0"/>
        <v>5.1546391752577324E-2</v>
      </c>
      <c r="S49" s="141">
        <f t="shared" si="31"/>
        <v>670792.81474434037</v>
      </c>
      <c r="T49" s="141">
        <f t="shared" si="10"/>
        <v>636215.86553071451</v>
      </c>
      <c r="U49" s="141">
        <f t="shared" si="36"/>
        <v>34576.949213625798</v>
      </c>
      <c r="V49" s="8">
        <f t="shared" si="39"/>
        <v>0.35</v>
      </c>
      <c r="W49" s="141">
        <f t="shared" si="37"/>
        <v>22475.016988856769</v>
      </c>
      <c r="X49" s="141">
        <f t="shared" si="38"/>
        <v>12101.932224769029</v>
      </c>
      <c r="Y49" s="141">
        <f t="shared" si="11"/>
        <v>449967.5838604176</v>
      </c>
      <c r="AA49">
        <f t="shared" si="28"/>
        <v>81</v>
      </c>
      <c r="AB49" s="8">
        <v>5.1546391752577324E-2</v>
      </c>
      <c r="AC49" s="392">
        <f t="shared" si="5"/>
        <v>5.1546391752577324E-2</v>
      </c>
      <c r="AD49" s="141">
        <f t="shared" si="30"/>
        <v>418921.35231411422</v>
      </c>
      <c r="AE49" s="141">
        <f t="shared" si="32"/>
        <v>397327.46817421139</v>
      </c>
      <c r="AF49" s="141">
        <f t="shared" si="13"/>
        <v>21593.884139902795</v>
      </c>
      <c r="AG49" s="8">
        <v>0</v>
      </c>
      <c r="AH49" s="141">
        <f t="shared" si="6"/>
        <v>21593.884139902795</v>
      </c>
      <c r="AI49" s="141">
        <f t="shared" si="14"/>
        <v>0</v>
      </c>
      <c r="AJ49" s="141">
        <f t="shared" si="34"/>
        <v>432326.60858104675</v>
      </c>
      <c r="AL49">
        <f t="shared" si="29"/>
        <v>81</v>
      </c>
      <c r="AM49" s="8">
        <v>5.1546391752577324E-2</v>
      </c>
      <c r="AN49" s="392">
        <f t="shared" si="7"/>
        <v>5.1546391752577324E-2</v>
      </c>
      <c r="AO49" s="141">
        <f t="shared" ca="1" si="16"/>
        <v>493254.11812450015</v>
      </c>
      <c r="AP49" s="141">
        <f t="shared" ca="1" si="33"/>
        <v>467828.64811808261</v>
      </c>
      <c r="AQ49" s="141">
        <f t="shared" ca="1" si="18"/>
        <v>25425.470006417534</v>
      </c>
      <c r="AR49" s="8">
        <v>0</v>
      </c>
      <c r="AS49" s="141">
        <f t="shared" ca="1" si="8"/>
        <v>25425.470006417534</v>
      </c>
      <c r="AT49" s="141">
        <f t="shared" si="19"/>
        <v>0</v>
      </c>
      <c r="AU49" s="141">
        <f t="shared" ca="1" si="35"/>
        <v>509037.98261756817</v>
      </c>
    </row>
    <row r="50" spans="16:47" x14ac:dyDescent="0.2">
      <c r="P50">
        <f t="shared" si="27"/>
        <v>82</v>
      </c>
      <c r="Q50" s="8">
        <v>5.4054054054054057E-2</v>
      </c>
      <c r="R50" s="392">
        <f t="shared" si="0"/>
        <v>5.4054054054054057E-2</v>
      </c>
      <c r="S50" s="141">
        <f t="shared" si="31"/>
        <v>680750.9761178646</v>
      </c>
      <c r="T50" s="141">
        <f t="shared" si="10"/>
        <v>643953.62605743948</v>
      </c>
      <c r="U50" s="141">
        <f t="shared" si="36"/>
        <v>36797.350060425117</v>
      </c>
      <c r="V50" s="8">
        <f t="shared" si="39"/>
        <v>0.35</v>
      </c>
      <c r="W50" s="141">
        <f t="shared" si="37"/>
        <v>23918.277539276325</v>
      </c>
      <c r="X50" s="141">
        <f t="shared" si="38"/>
        <v>12879.07252114879</v>
      </c>
      <c r="Y50" s="141">
        <f t="shared" si="11"/>
        <v>505383.59226992319</v>
      </c>
      <c r="AA50">
        <f t="shared" si="28"/>
        <v>82</v>
      </c>
      <c r="AB50" s="8">
        <v>5.4054054054054057E-2</v>
      </c>
      <c r="AC50" s="392">
        <f t="shared" si="5"/>
        <v>5.4054054054054057E-2</v>
      </c>
      <c r="AD50" s="141">
        <f t="shared" si="30"/>
        <v>425140.39094640623</v>
      </c>
      <c r="AE50" s="141">
        <f t="shared" si="32"/>
        <v>402159.82927362749</v>
      </c>
      <c r="AF50" s="141">
        <f t="shared" si="13"/>
        <v>22980.561672778716</v>
      </c>
      <c r="AG50" s="8">
        <v>0</v>
      </c>
      <c r="AH50" s="141">
        <f t="shared" si="6"/>
        <v>22980.561672778716</v>
      </c>
      <c r="AI50" s="141">
        <f t="shared" si="14"/>
        <v>0</v>
      </c>
      <c r="AJ50" s="141">
        <f t="shared" si="34"/>
        <v>485570.03285449877</v>
      </c>
      <c r="AL50">
        <f t="shared" si="29"/>
        <v>82</v>
      </c>
      <c r="AM50" s="8">
        <v>5.4054054054054057E-2</v>
      </c>
      <c r="AN50" s="392">
        <f t="shared" si="7"/>
        <v>5.4054054054054057E-2</v>
      </c>
      <c r="AO50" s="141">
        <f t="shared" ca="1" si="16"/>
        <v>500576.6534863484</v>
      </c>
      <c r="AP50" s="141">
        <f t="shared" ca="1" si="33"/>
        <v>473518.45600059984</v>
      </c>
      <c r="AQ50" s="141">
        <f t="shared" ca="1" si="18"/>
        <v>27058.197485748562</v>
      </c>
      <c r="AR50" s="8">
        <v>0</v>
      </c>
      <c r="AS50" s="141">
        <f t="shared" ca="1" si="8"/>
        <v>27058.197485748562</v>
      </c>
      <c r="AT50" s="141">
        <f t="shared" si="19"/>
        <v>0</v>
      </c>
      <c r="AU50" s="141">
        <f t="shared" ca="1" si="35"/>
        <v>571728.83888654655</v>
      </c>
    </row>
    <row r="51" spans="16:47" x14ac:dyDescent="0.2">
      <c r="P51">
        <f t="shared" si="27"/>
        <v>83</v>
      </c>
      <c r="Q51" s="8">
        <v>5.6497175141242938E-2</v>
      </c>
      <c r="R51" s="392">
        <f t="shared" si="0"/>
        <v>5.6497175141242938E-2</v>
      </c>
      <c r="S51" s="141">
        <f t="shared" si="31"/>
        <v>689030.37988146034</v>
      </c>
      <c r="T51" s="141">
        <f t="shared" si="10"/>
        <v>650102.10983166029</v>
      </c>
      <c r="U51" s="141">
        <f t="shared" si="36"/>
        <v>38928.270049800019</v>
      </c>
      <c r="V51" s="8">
        <f t="shared" si="39"/>
        <v>0.35</v>
      </c>
      <c r="W51" s="141">
        <f t="shared" si="37"/>
        <v>25303.375532370013</v>
      </c>
      <c r="X51" s="141">
        <f t="shared" si="38"/>
        <v>13624.894517430006</v>
      </c>
      <c r="Y51" s="141">
        <f t="shared" si="11"/>
        <v>566063.81926118792</v>
      </c>
      <c r="AA51">
        <f t="shared" si="28"/>
        <v>83</v>
      </c>
      <c r="AB51" s="8">
        <v>5.6497175141242938E-2</v>
      </c>
      <c r="AC51" s="392">
        <f t="shared" si="5"/>
        <v>5.6497175141242938E-2</v>
      </c>
      <c r="AD51" s="141">
        <f t="shared" si="30"/>
        <v>430311.01732278144</v>
      </c>
      <c r="AE51" s="141">
        <f t="shared" si="32"/>
        <v>405999.66041188984</v>
      </c>
      <c r="AF51" s="141">
        <f t="shared" si="13"/>
        <v>24311.356910891605</v>
      </c>
      <c r="AG51" s="8">
        <v>0</v>
      </c>
      <c r="AH51" s="141">
        <f t="shared" si="6"/>
        <v>24311.356910891605</v>
      </c>
      <c r="AI51" s="141">
        <f t="shared" si="14"/>
        <v>0</v>
      </c>
      <c r="AJ51" s="141">
        <f t="shared" si="34"/>
        <v>543871.29206520529</v>
      </c>
      <c r="AL51">
        <f t="shared" si="29"/>
        <v>83</v>
      </c>
      <c r="AM51" s="8">
        <v>5.6497175141242938E-2</v>
      </c>
      <c r="AN51" s="392">
        <f t="shared" si="7"/>
        <v>5.6497175141242938E-2</v>
      </c>
      <c r="AO51" s="141">
        <f t="shared" ca="1" si="16"/>
        <v>506664.74792064185</v>
      </c>
      <c r="AP51" s="141">
        <f t="shared" ca="1" si="33"/>
        <v>478039.62091947562</v>
      </c>
      <c r="AQ51" s="141">
        <f t="shared" ca="1" si="18"/>
        <v>28625.127001166205</v>
      </c>
      <c r="AR51" s="8">
        <v>0</v>
      </c>
      <c r="AS51" s="141">
        <f t="shared" ca="1" si="8"/>
        <v>28625.127001166205</v>
      </c>
      <c r="AT51" s="141">
        <f t="shared" si="19"/>
        <v>0</v>
      </c>
      <c r="AU51" s="141">
        <f t="shared" ca="1" si="35"/>
        <v>640374.98460977105</v>
      </c>
    </row>
    <row r="52" spans="16:47" x14ac:dyDescent="0.2">
      <c r="P52">
        <f t="shared" si="27"/>
        <v>84</v>
      </c>
      <c r="Q52" s="8">
        <v>5.9523809523809521E-2</v>
      </c>
      <c r="R52" s="392">
        <f t="shared" si="0"/>
        <v>5.9523809523809521E-2</v>
      </c>
      <c r="S52" s="141">
        <f t="shared" si="31"/>
        <v>695609.25751987658</v>
      </c>
      <c r="T52" s="141">
        <f t="shared" si="10"/>
        <v>654203.94457226491</v>
      </c>
      <c r="U52" s="141">
        <f t="shared" si="36"/>
        <v>41405.312947611696</v>
      </c>
      <c r="V52" s="8">
        <f t="shared" si="39"/>
        <v>0.35</v>
      </c>
      <c r="W52" s="141">
        <f t="shared" si="37"/>
        <v>26913.453415947602</v>
      </c>
      <c r="X52" s="141">
        <f t="shared" si="38"/>
        <v>14491.859531664093</v>
      </c>
      <c r="Y52" s="141">
        <f t="shared" si="11"/>
        <v>632601.74002541869</v>
      </c>
      <c r="AA52">
        <f t="shared" si="28"/>
        <v>84</v>
      </c>
      <c r="AB52" s="8">
        <v>5.9523809523809521E-2</v>
      </c>
      <c r="AC52" s="392">
        <f t="shared" si="5"/>
        <v>5.9523809523809521E-2</v>
      </c>
      <c r="AD52" s="141">
        <f t="shared" si="30"/>
        <v>434419.63664072216</v>
      </c>
      <c r="AE52" s="141">
        <f t="shared" si="32"/>
        <v>408561.32493591728</v>
      </c>
      <c r="AF52" s="141">
        <f t="shared" si="13"/>
        <v>25858.311704804888</v>
      </c>
      <c r="AG52" s="8">
        <v>0</v>
      </c>
      <c r="AH52" s="141">
        <f t="shared" si="6"/>
        <v>25858.311704804888</v>
      </c>
      <c r="AI52" s="141">
        <f t="shared" si="14"/>
        <v>0</v>
      </c>
      <c r="AJ52" s="141">
        <f t="shared" si="34"/>
        <v>607800.59421457455</v>
      </c>
      <c r="AL52">
        <f t="shared" si="29"/>
        <v>84</v>
      </c>
      <c r="AM52" s="8">
        <v>5.9523809523809521E-2</v>
      </c>
      <c r="AN52" s="392">
        <f t="shared" si="7"/>
        <v>5.9523809523809521E-2</v>
      </c>
      <c r="AO52" s="141">
        <f t="shared" ca="1" si="16"/>
        <v>511502.39438383892</v>
      </c>
      <c r="AP52" s="141">
        <f t="shared" ca="1" si="33"/>
        <v>481055.82328956277</v>
      </c>
      <c r="AQ52" s="141">
        <f t="shared" ca="1" si="18"/>
        <v>30446.571094276125</v>
      </c>
      <c r="AR52" s="8">
        <v>0</v>
      </c>
      <c r="AS52" s="141">
        <f t="shared" ca="1" si="8"/>
        <v>30446.571094276125</v>
      </c>
      <c r="AT52" s="141">
        <f t="shared" si="19"/>
        <v>0</v>
      </c>
      <c r="AU52" s="141">
        <f t="shared" ca="1" si="35"/>
        <v>715647.8046267312</v>
      </c>
    </row>
    <row r="53" spans="16:47" x14ac:dyDescent="0.2">
      <c r="P53">
        <f t="shared" si="27"/>
        <v>85</v>
      </c>
      <c r="Q53" s="8">
        <v>6.25E-2</v>
      </c>
      <c r="R53" s="392">
        <f t="shared" si="0"/>
        <v>6.25E-2</v>
      </c>
      <c r="S53" s="141">
        <f t="shared" si="31"/>
        <v>699998.22069232352</v>
      </c>
      <c r="T53" s="141">
        <f t="shared" si="10"/>
        <v>656248.3318990533</v>
      </c>
      <c r="U53" s="141">
        <f t="shared" si="36"/>
        <v>43749.88879327022</v>
      </c>
      <c r="V53" s="8">
        <f t="shared" si="39"/>
        <v>0.35</v>
      </c>
      <c r="W53" s="141">
        <f t="shared" si="37"/>
        <v>28437.427715625643</v>
      </c>
      <c r="X53" s="141">
        <f t="shared" si="38"/>
        <v>15312.461077644575</v>
      </c>
      <c r="Y53" s="141">
        <f t="shared" si="11"/>
        <v>705321.28954282368</v>
      </c>
      <c r="AA53">
        <f t="shared" si="28"/>
        <v>85</v>
      </c>
      <c r="AB53" s="8">
        <v>6.25E-2</v>
      </c>
      <c r="AC53" s="392">
        <f t="shared" si="5"/>
        <v>6.25E-2</v>
      </c>
      <c r="AD53" s="141">
        <f t="shared" si="30"/>
        <v>437160.61768143153</v>
      </c>
      <c r="AE53" s="141">
        <f t="shared" si="32"/>
        <v>409838.07907634205</v>
      </c>
      <c r="AF53" s="141">
        <f t="shared" si="13"/>
        <v>27322.53860508947</v>
      </c>
      <c r="AG53" s="8">
        <v>0</v>
      </c>
      <c r="AH53" s="141">
        <f t="shared" si="6"/>
        <v>27322.53860508947</v>
      </c>
      <c r="AI53" s="141">
        <f t="shared" si="14"/>
        <v>0</v>
      </c>
      <c r="AJ53" s="141">
        <f t="shared" si="34"/>
        <v>677669.17441468418</v>
      </c>
      <c r="AL53">
        <f t="shared" si="29"/>
        <v>85</v>
      </c>
      <c r="AM53" s="8">
        <v>6.25E-2</v>
      </c>
      <c r="AN53" s="392">
        <f t="shared" si="7"/>
        <v>6.25E-2</v>
      </c>
      <c r="AO53" s="141">
        <f t="shared" ca="1" si="16"/>
        <v>514729.73091983219</v>
      </c>
      <c r="AP53" s="141">
        <f t="shared" ca="1" si="33"/>
        <v>482559.12273734267</v>
      </c>
      <c r="AQ53" s="141">
        <f t="shared" ca="1" si="18"/>
        <v>32170.608182489512</v>
      </c>
      <c r="AR53" s="8">
        <v>0</v>
      </c>
      <c r="AS53" s="141">
        <f t="shared" ca="1" si="8"/>
        <v>32170.608182489512</v>
      </c>
      <c r="AT53" s="141">
        <f t="shared" si="19"/>
        <v>0</v>
      </c>
      <c r="AU53" s="141">
        <f t="shared" ca="1" si="35"/>
        <v>797913.75913309201</v>
      </c>
    </row>
    <row r="54" spans="16:47" x14ac:dyDescent="0.2">
      <c r="P54">
        <f t="shared" si="27"/>
        <v>86</v>
      </c>
      <c r="Q54" s="8">
        <v>6.5789473684210523E-2</v>
      </c>
      <c r="R54" s="392">
        <f t="shared" si="0"/>
        <v>6.5789473684210523E-2</v>
      </c>
      <c r="S54" s="141">
        <f t="shared" si="31"/>
        <v>702185.71513198712</v>
      </c>
      <c r="T54" s="141">
        <f t="shared" si="10"/>
        <v>655989.28650488274</v>
      </c>
      <c r="U54" s="141">
        <f t="shared" si="36"/>
        <v>46196.428627104411</v>
      </c>
      <c r="V54" s="8">
        <f t="shared" si="39"/>
        <v>0.35</v>
      </c>
      <c r="W54" s="141">
        <f t="shared" si="37"/>
        <v>30027.678607617869</v>
      </c>
      <c r="X54" s="141">
        <f t="shared" si="38"/>
        <v>16168.750019486542</v>
      </c>
      <c r="Y54" s="141">
        <f t="shared" si="11"/>
        <v>784721.45841843926</v>
      </c>
      <c r="AA54">
        <f t="shared" si="28"/>
        <v>86</v>
      </c>
      <c r="AB54" s="8">
        <v>6.5789473684210523E-2</v>
      </c>
      <c r="AC54" s="392">
        <f t="shared" si="5"/>
        <v>6.5789473684210523E-2</v>
      </c>
      <c r="AD54" s="141">
        <f t="shared" si="30"/>
        <v>438526.74461168604</v>
      </c>
      <c r="AE54" s="141">
        <f t="shared" si="32"/>
        <v>409676.300887233</v>
      </c>
      <c r="AF54" s="141">
        <f t="shared" si="13"/>
        <v>28850.443724453027</v>
      </c>
      <c r="AG54" s="8">
        <v>0</v>
      </c>
      <c r="AH54" s="141">
        <f t="shared" si="6"/>
        <v>28850.443724453027</v>
      </c>
      <c r="AI54" s="141">
        <f t="shared" si="14"/>
        <v>0</v>
      </c>
      <c r="AJ54" s="141">
        <f t="shared" si="34"/>
        <v>753956.46034816513</v>
      </c>
      <c r="AL54">
        <f t="shared" si="29"/>
        <v>86</v>
      </c>
      <c r="AM54" s="8">
        <v>6.5789473684210523E-2</v>
      </c>
      <c r="AN54" s="392">
        <f t="shared" si="7"/>
        <v>6.5789473684210523E-2</v>
      </c>
      <c r="AO54" s="141">
        <f t="shared" ca="1" si="16"/>
        <v>516338.26132895669</v>
      </c>
      <c r="AP54" s="141">
        <f t="shared" ca="1" si="33"/>
        <v>482368.6388731043</v>
      </c>
      <c r="AQ54" s="141">
        <f t="shared" ca="1" si="18"/>
        <v>33969.622455852412</v>
      </c>
      <c r="AR54" s="8">
        <v>0</v>
      </c>
      <c r="AS54" s="141">
        <f t="shared" ca="1" si="8"/>
        <v>33969.622455852412</v>
      </c>
      <c r="AT54" s="141">
        <f t="shared" si="19"/>
        <v>0</v>
      </c>
      <c r="AU54" s="141">
        <f t="shared" ca="1" si="35"/>
        <v>887737.344728261</v>
      </c>
    </row>
    <row r="55" spans="16:47" x14ac:dyDescent="0.2">
      <c r="P55">
        <f t="shared" si="27"/>
        <v>87</v>
      </c>
      <c r="Q55" s="8">
        <v>6.9444444444444448E-2</v>
      </c>
      <c r="R55" s="392">
        <f t="shared" si="0"/>
        <v>6.9444444444444448E-2</v>
      </c>
      <c r="S55" s="141">
        <f t="shared" si="31"/>
        <v>701908.5365602246</v>
      </c>
      <c r="T55" s="141">
        <f t="shared" si="10"/>
        <v>653164.8881879868</v>
      </c>
      <c r="U55" s="141">
        <f t="shared" si="36"/>
        <v>48743.648372237825</v>
      </c>
      <c r="V55" s="8">
        <f t="shared" si="39"/>
        <v>0.35</v>
      </c>
      <c r="W55" s="141">
        <f t="shared" si="37"/>
        <v>31683.371441954587</v>
      </c>
      <c r="X55" s="141">
        <f t="shared" si="38"/>
        <v>17060.276930283238</v>
      </c>
      <c r="Y55" s="141">
        <f t="shared" si="11"/>
        <v>871335.33194968465</v>
      </c>
      <c r="AA55">
        <f t="shared" si="28"/>
        <v>87</v>
      </c>
      <c r="AB55" s="8">
        <v>6.9444444444444448E-2</v>
      </c>
      <c r="AC55" s="392">
        <f t="shared" si="5"/>
        <v>6.9444444444444448E-2</v>
      </c>
      <c r="AD55" s="141">
        <f t="shared" si="30"/>
        <v>438353.6419493393</v>
      </c>
      <c r="AE55" s="141">
        <f t="shared" si="32"/>
        <v>407912.41681396851</v>
      </c>
      <c r="AF55" s="141">
        <f t="shared" si="13"/>
        <v>30441.225135370787</v>
      </c>
      <c r="AG55" s="8">
        <v>0</v>
      </c>
      <c r="AH55" s="141">
        <f t="shared" si="6"/>
        <v>30441.225135370787</v>
      </c>
      <c r="AI55" s="141">
        <f t="shared" si="14"/>
        <v>0</v>
      </c>
      <c r="AJ55" s="141">
        <f t="shared" si="34"/>
        <v>837174.63770790747</v>
      </c>
      <c r="AL55">
        <f t="shared" si="29"/>
        <v>87</v>
      </c>
      <c r="AM55" s="8">
        <v>6.9444444444444448E-2</v>
      </c>
      <c r="AN55" s="392">
        <f t="shared" si="7"/>
        <v>6.9444444444444448E-2</v>
      </c>
      <c r="AO55" s="141">
        <f t="shared" ca="1" si="16"/>
        <v>516134.44359422161</v>
      </c>
      <c r="AP55" s="141">
        <f t="shared" ca="1" si="33"/>
        <v>480291.77390017844</v>
      </c>
      <c r="AQ55" s="141">
        <f t="shared" ca="1" si="18"/>
        <v>35842.669694043172</v>
      </c>
      <c r="AR55" s="8">
        <v>0</v>
      </c>
      <c r="AS55" s="141">
        <f t="shared" ca="1" si="8"/>
        <v>35842.669694043172</v>
      </c>
      <c r="AT55" s="141">
        <f t="shared" si="19"/>
        <v>0</v>
      </c>
      <c r="AU55" s="141">
        <f t="shared" ca="1" si="35"/>
        <v>985721.62855328247</v>
      </c>
    </row>
    <row r="56" spans="16:47" x14ac:dyDescent="0.2">
      <c r="P56">
        <f t="shared" si="27"/>
        <v>88</v>
      </c>
      <c r="Q56" s="8">
        <v>7.2992700729927015E-2</v>
      </c>
      <c r="R56" s="392">
        <f t="shared" si="0"/>
        <v>7.2992700729927015E-2</v>
      </c>
      <c r="S56" s="141">
        <f t="shared" si="31"/>
        <v>698886.43036114587</v>
      </c>
      <c r="T56" s="141">
        <f t="shared" si="10"/>
        <v>647872.82230558782</v>
      </c>
      <c r="U56" s="141">
        <f t="shared" si="36"/>
        <v>51013.608055558099</v>
      </c>
      <c r="V56" s="8">
        <f t="shared" si="39"/>
        <v>0.35</v>
      </c>
      <c r="W56" s="141">
        <f t="shared" si="37"/>
        <v>33158.845236112764</v>
      </c>
      <c r="X56" s="141">
        <f t="shared" si="38"/>
        <v>17854.762819445332</v>
      </c>
      <c r="Y56" s="141">
        <f t="shared" si="11"/>
        <v>965487.6504222753</v>
      </c>
      <c r="AA56">
        <f t="shared" si="28"/>
        <v>88</v>
      </c>
      <c r="AB56" s="8">
        <v>7.2992700729927015E-2</v>
      </c>
      <c r="AC56" s="392">
        <f t="shared" si="5"/>
        <v>7.2992700729927015E-2</v>
      </c>
      <c r="AD56" s="141">
        <f t="shared" si="30"/>
        <v>436466.28599094634</v>
      </c>
      <c r="AE56" s="141">
        <f t="shared" si="32"/>
        <v>404607.43299890647</v>
      </c>
      <c r="AF56" s="141">
        <f t="shared" si="13"/>
        <v>31858.852992039883</v>
      </c>
      <c r="AG56" s="8">
        <v>0</v>
      </c>
      <c r="AH56" s="141">
        <f t="shared" si="6"/>
        <v>31858.852992039883</v>
      </c>
      <c r="AI56" s="141">
        <f t="shared" si="14"/>
        <v>0</v>
      </c>
      <c r="AJ56" s="141">
        <f t="shared" si="34"/>
        <v>927635.71533950092</v>
      </c>
      <c r="AL56">
        <f t="shared" si="29"/>
        <v>88</v>
      </c>
      <c r="AM56" s="8">
        <v>7.2992700729927015E-2</v>
      </c>
      <c r="AN56" s="392">
        <f t="shared" si="7"/>
        <v>7.2992700729927015E-2</v>
      </c>
      <c r="AO56" s="141">
        <f t="shared" ca="1" si="16"/>
        <v>513912.19807319093</v>
      </c>
      <c r="AP56" s="141">
        <f t="shared" ca="1" si="33"/>
        <v>476400.35879777552</v>
      </c>
      <c r="AQ56" s="141">
        <f t="shared" ca="1" si="18"/>
        <v>37511.839275415397</v>
      </c>
      <c r="AR56" s="8">
        <v>0</v>
      </c>
      <c r="AS56" s="141">
        <f t="shared" ca="1" si="8"/>
        <v>37511.839275415397</v>
      </c>
      <c r="AT56" s="141">
        <f t="shared" si="19"/>
        <v>0</v>
      </c>
      <c r="AU56" s="141">
        <f t="shared" ca="1" si="35"/>
        <v>1092233.9818274276</v>
      </c>
    </row>
    <row r="57" spans="16:47" x14ac:dyDescent="0.2">
      <c r="P57">
        <f t="shared" si="27"/>
        <v>89</v>
      </c>
      <c r="Q57" s="8">
        <v>7.7519379844961239E-2</v>
      </c>
      <c r="R57" s="392">
        <f t="shared" si="0"/>
        <v>7.7519379844961239E-2</v>
      </c>
      <c r="S57" s="141">
        <f t="shared" si="31"/>
        <v>693223.91986697901</v>
      </c>
      <c r="T57" s="141">
        <f t="shared" si="10"/>
        <v>639485.63150519761</v>
      </c>
      <c r="U57" s="141">
        <f t="shared" si="36"/>
        <v>53738.28836178132</v>
      </c>
      <c r="V57" s="8">
        <f t="shared" si="39"/>
        <v>0.35</v>
      </c>
      <c r="W57" s="141">
        <f t="shared" si="37"/>
        <v>34929.887435157856</v>
      </c>
      <c r="X57" s="141">
        <f t="shared" si="38"/>
        <v>18808.400926623461</v>
      </c>
      <c r="Y57" s="141">
        <f t="shared" si="11"/>
        <v>1068001.6733869924</v>
      </c>
      <c r="AA57">
        <f t="shared" si="28"/>
        <v>89</v>
      </c>
      <c r="AB57" s="8">
        <v>7.7519379844961239E-2</v>
      </c>
      <c r="AC57" s="392">
        <f t="shared" si="5"/>
        <v>7.7519379844961239E-2</v>
      </c>
      <c r="AD57" s="141">
        <f t="shared" si="30"/>
        <v>432929.95330882992</v>
      </c>
      <c r="AE57" s="141">
        <f t="shared" si="32"/>
        <v>399369.49181202141</v>
      </c>
      <c r="AF57" s="141">
        <f t="shared" si="13"/>
        <v>33560.461496808522</v>
      </c>
      <c r="AG57" s="8">
        <v>0</v>
      </c>
      <c r="AH57" s="141">
        <f t="shared" si="6"/>
        <v>33560.461496808522</v>
      </c>
      <c r="AI57" s="141">
        <f t="shared" si="14"/>
        <v>0</v>
      </c>
      <c r="AJ57" s="141">
        <f t="shared" si="34"/>
        <v>1026130.6769100747</v>
      </c>
      <c r="AL57">
        <f t="shared" si="29"/>
        <v>89</v>
      </c>
      <c r="AM57" s="8">
        <v>7.7519379844961239E-2</v>
      </c>
      <c r="AN57" s="392">
        <f t="shared" si="7"/>
        <v>7.7519379844961239E-2</v>
      </c>
      <c r="AO57" s="141">
        <f t="shared" ca="1" si="16"/>
        <v>509748.38391361985</v>
      </c>
      <c r="AP57" s="141">
        <f t="shared" ca="1" si="33"/>
        <v>470233.00531566481</v>
      </c>
      <c r="AQ57" s="141">
        <f t="shared" ca="1" si="18"/>
        <v>39515.37859795503</v>
      </c>
      <c r="AR57" s="8">
        <v>0</v>
      </c>
      <c r="AS57" s="141">
        <f t="shared" ca="1" si="8"/>
        <v>39515.37859795503</v>
      </c>
      <c r="AT57" s="141">
        <f t="shared" si="19"/>
        <v>0</v>
      </c>
      <c r="AU57" s="141">
        <f t="shared" ca="1" si="35"/>
        <v>1208205.7391533025</v>
      </c>
    </row>
    <row r="58" spans="16:47" x14ac:dyDescent="0.2">
      <c r="P58">
        <f t="shared" si="27"/>
        <v>90</v>
      </c>
      <c r="Q58" s="8">
        <v>8.1967213114754106E-2</v>
      </c>
      <c r="R58" s="392">
        <f t="shared" si="0"/>
        <v>8.1967213114754106E-2</v>
      </c>
      <c r="S58" s="141">
        <f t="shared" si="31"/>
        <v>684249.62571056152</v>
      </c>
      <c r="T58" s="141">
        <f t="shared" si="10"/>
        <v>628163.59081625321</v>
      </c>
      <c r="U58" s="141">
        <f t="shared" si="36"/>
        <v>56086.03489430833</v>
      </c>
      <c r="V58" s="8">
        <f t="shared" si="39"/>
        <v>0.35</v>
      </c>
      <c r="W58" s="141">
        <f t="shared" si="37"/>
        <v>36455.922681300413</v>
      </c>
      <c r="X58" s="141">
        <f t="shared" si="38"/>
        <v>19630.112213007913</v>
      </c>
      <c r="Y58" s="141">
        <f t="shared" si="11"/>
        <v>1179217.7132053825</v>
      </c>
      <c r="AA58">
        <f t="shared" si="28"/>
        <v>90</v>
      </c>
      <c r="AB58" s="8">
        <v>8.1967213114754106E-2</v>
      </c>
      <c r="AC58" s="392">
        <f t="shared" si="5"/>
        <v>8.1967213114754106E-2</v>
      </c>
      <c r="AD58" s="141">
        <f t="shared" si="30"/>
        <v>427325.35623886297</v>
      </c>
      <c r="AE58" s="141">
        <f t="shared" si="32"/>
        <v>392298.68769469386</v>
      </c>
      <c r="AF58" s="141">
        <f t="shared" si="13"/>
        <v>35026.668544169101</v>
      </c>
      <c r="AG58" s="8">
        <v>0</v>
      </c>
      <c r="AH58" s="141">
        <f t="shared" si="6"/>
        <v>35026.668544169101</v>
      </c>
      <c r="AI58" s="141">
        <f t="shared" si="14"/>
        <v>0</v>
      </c>
      <c r="AJ58" s="141">
        <f t="shared" si="34"/>
        <v>1132986.492837949</v>
      </c>
      <c r="AL58">
        <f t="shared" si="29"/>
        <v>90</v>
      </c>
      <c r="AM58" s="8">
        <v>8.1967213114754106E-2</v>
      </c>
      <c r="AN58" s="392">
        <f t="shared" si="7"/>
        <v>8.1967213114754106E-2</v>
      </c>
      <c r="AO58" s="141">
        <f t="shared" ca="1" si="16"/>
        <v>503149.31568776135</v>
      </c>
      <c r="AP58" s="141">
        <f t="shared" ca="1" si="33"/>
        <v>461907.56850023993</v>
      </c>
      <c r="AQ58" s="141">
        <f t="shared" ca="1" si="18"/>
        <v>41241.747187521425</v>
      </c>
      <c r="AR58" s="8">
        <v>0</v>
      </c>
      <c r="AS58" s="141">
        <f t="shared" ca="1" si="8"/>
        <v>41241.747187521425</v>
      </c>
      <c r="AT58" s="141">
        <f t="shared" si="19"/>
        <v>0</v>
      </c>
      <c r="AU58" s="141">
        <f t="shared" ca="1" si="35"/>
        <v>1334021.8880815553</v>
      </c>
    </row>
    <row r="59" spans="16:47" x14ac:dyDescent="0.2">
      <c r="P59">
        <f t="shared" si="27"/>
        <v>91</v>
      </c>
      <c r="Q59" s="8">
        <v>8.6956521739130432E-2</v>
      </c>
      <c r="R59" s="392">
        <f t="shared" si="0"/>
        <v>8.6956521739130432E-2</v>
      </c>
      <c r="S59" s="141">
        <f t="shared" si="31"/>
        <v>672135.04217339098</v>
      </c>
      <c r="T59" s="141">
        <f t="shared" si="10"/>
        <v>613688.51676700916</v>
      </c>
      <c r="U59" s="141">
        <f t="shared" si="36"/>
        <v>58446.525406381821</v>
      </c>
      <c r="V59" s="8">
        <f t="shared" si="39"/>
        <v>0.35</v>
      </c>
      <c r="W59" s="141">
        <f t="shared" si="37"/>
        <v>37990.241514148183</v>
      </c>
      <c r="X59" s="141">
        <f t="shared" si="38"/>
        <v>20456.283892233638</v>
      </c>
      <c r="Y59" s="141">
        <f t="shared" si="11"/>
        <v>1299753.1946439075</v>
      </c>
      <c r="AA59">
        <f t="shared" si="28"/>
        <v>91</v>
      </c>
      <c r="AB59" s="8">
        <v>8.6956521739130432E-2</v>
      </c>
      <c r="AC59" s="392">
        <f t="shared" si="5"/>
        <v>8.6956521739130432E-2</v>
      </c>
      <c r="AD59" s="141">
        <f t="shared" si="30"/>
        <v>419759.59583332244</v>
      </c>
      <c r="AE59" s="141">
        <f t="shared" si="32"/>
        <v>383258.76141303359</v>
      </c>
      <c r="AF59" s="141">
        <f t="shared" si="13"/>
        <v>36500.834420288906</v>
      </c>
      <c r="AG59" s="8">
        <v>0</v>
      </c>
      <c r="AH59" s="141">
        <f t="shared" si="6"/>
        <v>36500.834420288906</v>
      </c>
      <c r="AI59" s="141">
        <f t="shared" si="14"/>
        <v>0</v>
      </c>
      <c r="AJ59" s="141">
        <f t="shared" si="34"/>
        <v>1248796.3817568943</v>
      </c>
      <c r="AL59">
        <f t="shared" si="29"/>
        <v>91</v>
      </c>
      <c r="AM59" s="8">
        <v>8.6956521739130432E-2</v>
      </c>
      <c r="AN59" s="392">
        <f t="shared" si="7"/>
        <v>8.6956521739130432E-2</v>
      </c>
      <c r="AO59" s="141">
        <f t="shared" ca="1" si="16"/>
        <v>494241.09829525673</v>
      </c>
      <c r="AP59" s="141">
        <f t="shared" ca="1" si="33"/>
        <v>451263.61148697359</v>
      </c>
      <c r="AQ59" s="141">
        <f t="shared" ca="1" si="18"/>
        <v>42977.486808283189</v>
      </c>
      <c r="AR59" s="8">
        <v>0</v>
      </c>
      <c r="AS59" s="141">
        <f t="shared" ca="1" si="8"/>
        <v>42977.486808283189</v>
      </c>
      <c r="AT59" s="141">
        <f t="shared" si="19"/>
        <v>0</v>
      </c>
      <c r="AU59" s="141">
        <f t="shared" ca="1" si="35"/>
        <v>1470380.9070555475</v>
      </c>
    </row>
    <row r="60" spans="16:47" x14ac:dyDescent="0.2">
      <c r="P60">
        <f t="shared" si="27"/>
        <v>92</v>
      </c>
      <c r="Q60" s="8">
        <v>9.2592592592592587E-2</v>
      </c>
      <c r="R60" s="392">
        <f t="shared" si="0"/>
        <v>9.2592592592592587E-2</v>
      </c>
      <c r="S60" s="141">
        <f t="shared" si="31"/>
        <v>656646.71294069989</v>
      </c>
      <c r="T60" s="141">
        <f t="shared" si="10"/>
        <v>595846.09137211659</v>
      </c>
      <c r="U60" s="141">
        <f t="shared" si="36"/>
        <v>60800.621568583316</v>
      </c>
      <c r="V60" s="8">
        <f t="shared" si="39"/>
        <v>0.35</v>
      </c>
      <c r="W60" s="141">
        <f t="shared" si="37"/>
        <v>39520.404019579153</v>
      </c>
      <c r="X60" s="141">
        <f t="shared" si="38"/>
        <v>21280.217549004159</v>
      </c>
      <c r="Y60" s="141">
        <f t="shared" si="11"/>
        <v>1430256.3222885602</v>
      </c>
      <c r="AA60">
        <f t="shared" si="28"/>
        <v>92</v>
      </c>
      <c r="AB60" s="8">
        <v>9.2592592592592587E-2</v>
      </c>
      <c r="AC60" s="392">
        <f t="shared" si="5"/>
        <v>9.2592592592592587E-2</v>
      </c>
      <c r="AD60" s="141">
        <f t="shared" si="30"/>
        <v>410086.87471194594</v>
      </c>
      <c r="AE60" s="141">
        <f t="shared" si="32"/>
        <v>372115.86779417319</v>
      </c>
      <c r="AF60" s="141">
        <f t="shared" si="13"/>
        <v>37971.006917772771</v>
      </c>
      <c r="AG60" s="8">
        <v>0</v>
      </c>
      <c r="AH60" s="141">
        <f t="shared" si="6"/>
        <v>37971.006917772771</v>
      </c>
      <c r="AI60" s="141">
        <f t="shared" si="14"/>
        <v>0</v>
      </c>
      <c r="AJ60" s="141">
        <f t="shared" si="34"/>
        <v>1374183.1353976498</v>
      </c>
      <c r="AL60">
        <f t="shared" si="29"/>
        <v>92</v>
      </c>
      <c r="AM60" s="8">
        <v>9.2592592592592587E-2</v>
      </c>
      <c r="AN60" s="392">
        <f t="shared" si="7"/>
        <v>9.2592592592592587E-2</v>
      </c>
      <c r="AO60" s="141">
        <f t="shared" ca="1" si="16"/>
        <v>482852.06429106178</v>
      </c>
      <c r="AP60" s="141">
        <f t="shared" ca="1" si="33"/>
        <v>438143.53981966717</v>
      </c>
      <c r="AQ60" s="141">
        <f t="shared" ca="1" si="18"/>
        <v>44708.524471394609</v>
      </c>
      <c r="AR60" s="8">
        <v>0</v>
      </c>
      <c r="AS60" s="141">
        <f t="shared" ca="1" si="8"/>
        <v>44708.524471394609</v>
      </c>
      <c r="AT60" s="141">
        <f t="shared" si="19"/>
        <v>0</v>
      </c>
      <c r="AU60" s="141">
        <f t="shared" ca="1" si="35"/>
        <v>1618016.0950208306</v>
      </c>
    </row>
    <row r="61" spans="16:47" x14ac:dyDescent="0.2">
      <c r="P61">
        <f t="shared" si="27"/>
        <v>93</v>
      </c>
      <c r="Q61" s="8">
        <v>9.9009900990099015E-2</v>
      </c>
      <c r="R61" s="392">
        <f t="shared" si="0"/>
        <v>9.9009900990099015E-2</v>
      </c>
      <c r="S61" s="141">
        <f t="shared" si="31"/>
        <v>637555.31776816479</v>
      </c>
      <c r="T61" s="141">
        <f t="shared" si="10"/>
        <v>574431.02888022771</v>
      </c>
      <c r="U61" s="141">
        <f t="shared" si="36"/>
        <v>63124.288887937109</v>
      </c>
      <c r="V61" s="8">
        <f t="shared" si="39"/>
        <v>0.35</v>
      </c>
      <c r="W61" s="141">
        <f t="shared" si="37"/>
        <v>41030.787777159123</v>
      </c>
      <c r="X61" s="141">
        <f t="shared" si="38"/>
        <v>22093.501110777986</v>
      </c>
      <c r="Y61" s="141">
        <f t="shared" si="11"/>
        <v>1571405.0526259188</v>
      </c>
      <c r="AA61">
        <f t="shared" si="28"/>
        <v>93</v>
      </c>
      <c r="AB61" s="8">
        <v>9.9009900990099015E-2</v>
      </c>
      <c r="AC61" s="392">
        <f t="shared" si="5"/>
        <v>9.9009900990099015E-2</v>
      </c>
      <c r="AD61" s="141">
        <f t="shared" si="30"/>
        <v>398163.97853976535</v>
      </c>
      <c r="AE61" s="141">
        <f t="shared" si="32"/>
        <v>358741.80244671926</v>
      </c>
      <c r="AF61" s="141">
        <f t="shared" si="13"/>
        <v>39422.176093046073</v>
      </c>
      <c r="AG61" s="8">
        <v>0</v>
      </c>
      <c r="AH61" s="141">
        <f t="shared" si="6"/>
        <v>39422.176093046073</v>
      </c>
      <c r="AI61" s="141">
        <f t="shared" si="14"/>
        <v>0</v>
      </c>
      <c r="AJ61" s="141">
        <f t="shared" si="34"/>
        <v>1509798.1309685316</v>
      </c>
      <c r="AL61">
        <f t="shared" si="29"/>
        <v>93</v>
      </c>
      <c r="AM61" s="8">
        <v>9.9009900990099015E-2</v>
      </c>
      <c r="AN61" s="392">
        <f t="shared" si="7"/>
        <v>9.9009900990099015E-2</v>
      </c>
      <c r="AO61" s="141">
        <f t="shared" ca="1" si="16"/>
        <v>468813.58760704391</v>
      </c>
      <c r="AP61" s="141">
        <f t="shared" ca="1" si="33"/>
        <v>422396.40071525739</v>
      </c>
      <c r="AQ61" s="141">
        <f t="shared" ca="1" si="18"/>
        <v>46417.186891786529</v>
      </c>
      <c r="AR61" s="8">
        <v>0</v>
      </c>
      <c r="AS61" s="141">
        <f t="shared" ca="1" si="8"/>
        <v>46417.186891786529</v>
      </c>
      <c r="AT61" s="141">
        <f t="shared" si="19"/>
        <v>0</v>
      </c>
      <c r="AU61" s="141">
        <f t="shared" ca="1" si="35"/>
        <v>1777694.4085640754</v>
      </c>
    </row>
    <row r="62" spans="16:47" x14ac:dyDescent="0.2">
      <c r="P62">
        <f t="shared" si="27"/>
        <v>94</v>
      </c>
      <c r="Q62" s="8">
        <v>0.10526315789473684</v>
      </c>
      <c r="R62" s="392">
        <f t="shared" si="0"/>
        <v>0.10526315789473684</v>
      </c>
      <c r="S62" s="141">
        <f t="shared" si="31"/>
        <v>614641.20090184372</v>
      </c>
      <c r="T62" s="141">
        <f t="shared" si="10"/>
        <v>549942.12712270231</v>
      </c>
      <c r="U62" s="141">
        <f t="shared" si="36"/>
        <v>64699.073779141443</v>
      </c>
      <c r="V62" s="8">
        <f t="shared" si="39"/>
        <v>0.35</v>
      </c>
      <c r="W62" s="141">
        <f t="shared" si="37"/>
        <v>42054.397956441942</v>
      </c>
      <c r="X62" s="141">
        <f t="shared" si="38"/>
        <v>22644.675822699504</v>
      </c>
      <c r="Y62" s="141">
        <f t="shared" si="11"/>
        <v>1723457.804266175</v>
      </c>
      <c r="AA62">
        <f t="shared" si="28"/>
        <v>94</v>
      </c>
      <c r="AB62" s="8">
        <v>0.10526315789473684</v>
      </c>
      <c r="AC62" s="392">
        <f t="shared" si="5"/>
        <v>0.10526315789473684</v>
      </c>
      <c r="AD62" s="141">
        <f t="shared" si="30"/>
        <v>383853.72861798963</v>
      </c>
      <c r="AE62" s="141">
        <f t="shared" si="32"/>
        <v>343448.07297399075</v>
      </c>
      <c r="AF62" s="141">
        <f t="shared" si="13"/>
        <v>40405.655643998907</v>
      </c>
      <c r="AG62" s="8">
        <v>0</v>
      </c>
      <c r="AH62" s="141">
        <f t="shared" si="6"/>
        <v>40405.655643998907</v>
      </c>
      <c r="AI62" s="141">
        <f t="shared" si="14"/>
        <v>0</v>
      </c>
      <c r="AJ62" s="141">
        <f t="shared" si="34"/>
        <v>1655889.6557803277</v>
      </c>
      <c r="AL62">
        <f t="shared" si="29"/>
        <v>94</v>
      </c>
      <c r="AM62" s="8">
        <v>0.10526315789473684</v>
      </c>
      <c r="AN62" s="392">
        <f t="shared" si="7"/>
        <v>0.10526315789473684</v>
      </c>
      <c r="AO62" s="141">
        <f t="shared" ca="1" si="16"/>
        <v>451964.14876532543</v>
      </c>
      <c r="AP62" s="141">
        <f t="shared" ca="1" si="33"/>
        <v>404388.97521108063</v>
      </c>
      <c r="AQ62" s="141">
        <f t="shared" ca="1" si="18"/>
        <v>47575.173554244779</v>
      </c>
      <c r="AR62" s="8">
        <v>0</v>
      </c>
      <c r="AS62" s="141">
        <f t="shared" ca="1" si="8"/>
        <v>47575.173554244779</v>
      </c>
      <c r="AT62" s="141">
        <f t="shared" si="19"/>
        <v>0</v>
      </c>
      <c r="AU62" s="141">
        <f t="shared" ca="1" si="35"/>
        <v>1949708.1907178054</v>
      </c>
    </row>
    <row r="63" spans="16:47" x14ac:dyDescent="0.2">
      <c r="P63">
        <f t="shared" si="27"/>
        <v>95</v>
      </c>
      <c r="Q63" s="8">
        <v>0.11235955056179775</v>
      </c>
      <c r="R63" s="392">
        <f t="shared" si="0"/>
        <v>0.11235955056179775</v>
      </c>
      <c r="S63" s="141">
        <f t="shared" si="31"/>
        <v>588438.07602129155</v>
      </c>
      <c r="T63" s="141">
        <f t="shared" si="10"/>
        <v>522321.43826609023</v>
      </c>
      <c r="U63" s="141">
        <f t="shared" si="36"/>
        <v>66116.6377552013</v>
      </c>
      <c r="V63" s="8">
        <f t="shared" si="39"/>
        <v>0.35</v>
      </c>
      <c r="W63" s="141">
        <f t="shared" si="37"/>
        <v>42975.814540880849</v>
      </c>
      <c r="X63" s="141">
        <f t="shared" si="38"/>
        <v>23140.823214320455</v>
      </c>
      <c r="Y63" s="141">
        <f t="shared" si="11"/>
        <v>1887075.6651056884</v>
      </c>
      <c r="AA63">
        <f t="shared" si="28"/>
        <v>95</v>
      </c>
      <c r="AB63" s="8">
        <v>0.11235955056179775</v>
      </c>
      <c r="AC63" s="392">
        <f t="shared" si="5"/>
        <v>0.11235955056179775</v>
      </c>
      <c r="AD63" s="141">
        <f t="shared" si="30"/>
        <v>367489.43808217015</v>
      </c>
      <c r="AE63" s="141">
        <f t="shared" si="32"/>
        <v>326198.48998304986</v>
      </c>
      <c r="AF63" s="141">
        <f t="shared" si="13"/>
        <v>41290.948099120244</v>
      </c>
      <c r="AG63" s="8">
        <v>0</v>
      </c>
      <c r="AH63" s="141">
        <f t="shared" si="6"/>
        <v>41290.948099120244</v>
      </c>
      <c r="AI63" s="141">
        <f t="shared" si="14"/>
        <v>0</v>
      </c>
      <c r="AJ63" s="141">
        <f t="shared" si="34"/>
        <v>1813092.8797840711</v>
      </c>
      <c r="AL63">
        <f t="shared" si="29"/>
        <v>95</v>
      </c>
      <c r="AM63" s="8">
        <v>0.11235955056179775</v>
      </c>
      <c r="AN63" s="392">
        <f t="shared" si="7"/>
        <v>0.11235955056179775</v>
      </c>
      <c r="AO63" s="141">
        <f t="shared" ca="1" si="16"/>
        <v>432696.20347585628</v>
      </c>
      <c r="AP63" s="141">
        <f t="shared" ca="1" si="33"/>
        <v>384078.65252351284</v>
      </c>
      <c r="AQ63" s="141">
        <f t="shared" ca="1" si="18"/>
        <v>48617.550952343401</v>
      </c>
      <c r="AR63" s="8">
        <v>0</v>
      </c>
      <c r="AS63" s="141">
        <f t="shared" ca="1" si="8"/>
        <v>48617.550952343401</v>
      </c>
      <c r="AT63" s="141">
        <f t="shared" si="19"/>
        <v>0</v>
      </c>
      <c r="AU63" s="141">
        <f t="shared" ca="1" si="35"/>
        <v>2134805.3150203954</v>
      </c>
    </row>
    <row r="64" spans="16:47" x14ac:dyDescent="0.2">
      <c r="P64">
        <f t="shared" si="27"/>
        <v>96</v>
      </c>
      <c r="Q64" s="8">
        <v>0.11904761904761904</v>
      </c>
      <c r="R64" s="392">
        <f t="shared" si="0"/>
        <v>0.11904761904761904</v>
      </c>
      <c r="S64" s="141">
        <f t="shared" si="31"/>
        <v>558883.93894471659</v>
      </c>
      <c r="T64" s="141">
        <f t="shared" si="10"/>
        <v>492350.1366893932</v>
      </c>
      <c r="U64" s="141">
        <f t="shared" si="36"/>
        <v>66533.802255323404</v>
      </c>
      <c r="V64" s="8">
        <f t="shared" si="39"/>
        <v>0.35</v>
      </c>
      <c r="W64" s="141">
        <f t="shared" si="37"/>
        <v>43246.971465960218</v>
      </c>
      <c r="X64" s="141">
        <f t="shared" si="38"/>
        <v>23286.83078936319</v>
      </c>
      <c r="Y64" s="141">
        <f t="shared" si="11"/>
        <v>2062417.9331290468</v>
      </c>
      <c r="AA64">
        <f t="shared" si="28"/>
        <v>96</v>
      </c>
      <c r="AB64" s="8">
        <v>0.11904761904761904</v>
      </c>
      <c r="AC64" s="392">
        <f t="shared" si="5"/>
        <v>0.11904761904761904</v>
      </c>
      <c r="AD64" s="141">
        <f t="shared" si="30"/>
        <v>349032.3842818634</v>
      </c>
      <c r="AE64" s="141">
        <f t="shared" si="32"/>
        <v>307480.90996259393</v>
      </c>
      <c r="AF64" s="141">
        <f t="shared" si="13"/>
        <v>41551.474319269451</v>
      </c>
      <c r="AG64" s="8">
        <v>0</v>
      </c>
      <c r="AH64" s="141">
        <f t="shared" si="6"/>
        <v>41551.474319269451</v>
      </c>
      <c r="AI64" s="141">
        <f t="shared" si="14"/>
        <v>0</v>
      </c>
      <c r="AJ64" s="141">
        <f t="shared" si="34"/>
        <v>1981560.8556882257</v>
      </c>
      <c r="AL64">
        <f t="shared" si="29"/>
        <v>96</v>
      </c>
      <c r="AM64" s="8">
        <v>0.11904761904761904</v>
      </c>
      <c r="AN64" s="392">
        <f t="shared" si="7"/>
        <v>0.11904761904761904</v>
      </c>
      <c r="AO64" s="141">
        <f t="shared" ca="1" si="16"/>
        <v>410964.15820015874</v>
      </c>
      <c r="AP64" s="141">
        <f t="shared" ca="1" si="33"/>
        <v>362039.8536525208</v>
      </c>
      <c r="AQ64" s="141">
        <f t="shared" ca="1" si="18"/>
        <v>48924.304547637941</v>
      </c>
      <c r="AR64" s="8">
        <v>0</v>
      </c>
      <c r="AS64" s="141">
        <f t="shared" ca="1" si="8"/>
        <v>48924.304547637941</v>
      </c>
      <c r="AT64" s="141">
        <f t="shared" si="19"/>
        <v>0</v>
      </c>
      <c r="AU64" s="141">
        <f t="shared" ca="1" si="35"/>
        <v>2333165.9916194612</v>
      </c>
    </row>
    <row r="65" spans="16:47" x14ac:dyDescent="0.2">
      <c r="P65">
        <f t="shared" si="27"/>
        <v>97</v>
      </c>
      <c r="Q65" s="8">
        <v>0.12820512820512822</v>
      </c>
      <c r="R65" s="392">
        <f t="shared" si="0"/>
        <v>0.12820512820512822</v>
      </c>
      <c r="S65" s="141">
        <f t="shared" si="31"/>
        <v>526814.64625765081</v>
      </c>
      <c r="T65" s="141">
        <f t="shared" si="10"/>
        <v>459274.3069938494</v>
      </c>
      <c r="U65" s="141">
        <f t="shared" si="36"/>
        <v>67540.33926380139</v>
      </c>
      <c r="V65" s="8">
        <f t="shared" si="39"/>
        <v>0.35</v>
      </c>
      <c r="W65" s="141">
        <f t="shared" si="37"/>
        <v>43901.220521470903</v>
      </c>
      <c r="X65" s="141">
        <f t="shared" si="38"/>
        <v>23639.118742330484</v>
      </c>
      <c r="Y65" s="141">
        <f t="shared" si="11"/>
        <v>2250688.4089695513</v>
      </c>
      <c r="AA65">
        <f t="shared" si="28"/>
        <v>97</v>
      </c>
      <c r="AB65" s="8">
        <v>0.12820512820512822</v>
      </c>
      <c r="AC65" s="392">
        <f t="shared" si="5"/>
        <v>0.12820512820512822</v>
      </c>
      <c r="AD65" s="141">
        <f t="shared" si="30"/>
        <v>329004.57365997555</v>
      </c>
      <c r="AE65" s="141">
        <f t="shared" si="32"/>
        <v>286824.50011382485</v>
      </c>
      <c r="AF65" s="141">
        <f t="shared" si="13"/>
        <v>42180.073546150714</v>
      </c>
      <c r="AG65" s="8">
        <v>0</v>
      </c>
      <c r="AH65" s="141">
        <f t="shared" si="6"/>
        <v>42180.073546150714</v>
      </c>
      <c r="AI65" s="141">
        <f t="shared" si="14"/>
        <v>0</v>
      </c>
      <c r="AJ65" s="141">
        <f t="shared" si="34"/>
        <v>2162450.1891325521</v>
      </c>
      <c r="AL65">
        <f t="shared" si="29"/>
        <v>97</v>
      </c>
      <c r="AM65" s="8">
        <v>0.12820512820512822</v>
      </c>
      <c r="AN65" s="392">
        <f t="shared" si="7"/>
        <v>0.12820512820512822</v>
      </c>
      <c r="AO65" s="141">
        <f t="shared" ca="1" si="16"/>
        <v>387382.64340819727</v>
      </c>
      <c r="AP65" s="141">
        <f t="shared" ca="1" si="33"/>
        <v>337718.2019456079</v>
      </c>
      <c r="AQ65" s="141">
        <f t="shared" ca="1" si="18"/>
        <v>49664.441462589399</v>
      </c>
      <c r="AR65" s="8">
        <v>0</v>
      </c>
      <c r="AS65" s="141">
        <f t="shared" ca="1" si="8"/>
        <v>49664.441462589399</v>
      </c>
      <c r="AT65" s="141">
        <f t="shared" si="19"/>
        <v>0</v>
      </c>
      <c r="AU65" s="141">
        <f t="shared" ca="1" si="35"/>
        <v>2546152.052495413</v>
      </c>
    </row>
    <row r="66" spans="16:47" x14ac:dyDescent="0.2">
      <c r="P66">
        <f t="shared" si="27"/>
        <v>98</v>
      </c>
      <c r="Q66" s="8">
        <v>0.13698630136986301</v>
      </c>
      <c r="R66" s="392">
        <f t="shared" si="0"/>
        <v>0.13698630136986301</v>
      </c>
      <c r="S66" s="141">
        <f t="shared" si="31"/>
        <v>491423.5084834189</v>
      </c>
      <c r="T66" s="141">
        <f t="shared" si="10"/>
        <v>424105.21965007385</v>
      </c>
      <c r="U66" s="141">
        <f t="shared" si="36"/>
        <v>67318.288833345054</v>
      </c>
      <c r="V66" s="8">
        <f t="shared" si="39"/>
        <v>0.35</v>
      </c>
      <c r="W66" s="141">
        <f t="shared" si="37"/>
        <v>43756.887741674283</v>
      </c>
      <c r="X66" s="141">
        <f t="shared" si="38"/>
        <v>23561.401091670767</v>
      </c>
      <c r="Y66" s="141">
        <f t="shared" si="11"/>
        <v>2451993.4853390944</v>
      </c>
      <c r="AA66">
        <f t="shared" si="28"/>
        <v>98</v>
      </c>
      <c r="AB66" s="8">
        <v>0.13698630136986301</v>
      </c>
      <c r="AC66" s="392">
        <f t="shared" si="5"/>
        <v>0.13698630136986301</v>
      </c>
      <c r="AD66" s="141">
        <f t="shared" si="30"/>
        <v>306902.21512179263</v>
      </c>
      <c r="AE66" s="141">
        <f t="shared" si="32"/>
        <v>264860.81579004024</v>
      </c>
      <c r="AF66" s="141">
        <f t="shared" si="13"/>
        <v>42041.399331752415</v>
      </c>
      <c r="AG66" s="8">
        <v>0</v>
      </c>
      <c r="AH66" s="141">
        <f t="shared" si="6"/>
        <v>42041.399331752415</v>
      </c>
      <c r="AI66" s="141">
        <f t="shared" si="14"/>
        <v>0</v>
      </c>
      <c r="AJ66" s="141">
        <f t="shared" si="34"/>
        <v>2355863.1017035833</v>
      </c>
      <c r="AL66">
        <f t="shared" si="29"/>
        <v>98</v>
      </c>
      <c r="AM66" s="8">
        <v>0.13698630136986301</v>
      </c>
      <c r="AN66" s="392">
        <f t="shared" si="7"/>
        <v>0.13698630136986301</v>
      </c>
      <c r="AO66" s="141">
        <f t="shared" ca="1" si="16"/>
        <v>361358.47608180047</v>
      </c>
      <c r="AP66" s="141">
        <f t="shared" ca="1" si="33"/>
        <v>311857.31497470452</v>
      </c>
      <c r="AQ66" s="141">
        <f t="shared" ca="1" si="18"/>
        <v>49501.161107095955</v>
      </c>
      <c r="AR66" s="8">
        <v>0</v>
      </c>
      <c r="AS66" s="141">
        <f t="shared" ca="1" si="8"/>
        <v>49501.161107095955</v>
      </c>
      <c r="AT66" s="141">
        <f t="shared" si="19"/>
        <v>0</v>
      </c>
      <c r="AU66" s="141">
        <f t="shared" ca="1" si="35"/>
        <v>2773883.857277188</v>
      </c>
    </row>
    <row r="67" spans="16:47" x14ac:dyDescent="0.2">
      <c r="P67">
        <f t="shared" si="27"/>
        <v>99</v>
      </c>
      <c r="Q67" s="8">
        <v>0.14705882352941177</v>
      </c>
      <c r="R67" s="392">
        <f t="shared" si="0"/>
        <v>0.14705882352941177</v>
      </c>
      <c r="S67" s="141">
        <f t="shared" si="31"/>
        <v>453792.58502557903</v>
      </c>
      <c r="T67" s="141">
        <f>IFERROR((1-R67)*S67,"")</f>
        <v>387058.3813453468</v>
      </c>
      <c r="U67" s="141">
        <f t="shared" si="36"/>
        <v>66734.203680232211</v>
      </c>
      <c r="V67" s="8">
        <f t="shared" si="39"/>
        <v>0.35</v>
      </c>
      <c r="W67" s="141">
        <f t="shared" ref="W67" si="40">IF(P67&lt;$B$4,0,(1-V67)*U67)</f>
        <v>43377.232392150938</v>
      </c>
      <c r="X67" s="141">
        <f t="shared" si="38"/>
        <v>23356.971288081273</v>
      </c>
      <c r="Y67" s="141">
        <f t="shared" si="11"/>
        <v>2667010.2617049823</v>
      </c>
      <c r="AA67">
        <f t="shared" si="28"/>
        <v>99</v>
      </c>
      <c r="AB67" s="8">
        <v>0.14705882352941177</v>
      </c>
      <c r="AC67" s="392">
        <f t="shared" ref="AC67" si="41">IF(AA67&lt;$B$9, 0, MAX(AB67,$B$10))</f>
        <v>0.14705882352941177</v>
      </c>
      <c r="AD67" s="141">
        <f t="shared" si="30"/>
        <v>283401.07289534307</v>
      </c>
      <c r="AE67" s="141">
        <f>IFERROR((1-AC67)*AD67,"")</f>
        <v>241724.44452838085</v>
      </c>
      <c r="AF67" s="141">
        <f t="shared" si="13"/>
        <v>41676.628366962213</v>
      </c>
      <c r="AG67" s="8">
        <v>0</v>
      </c>
      <c r="AH67" s="141">
        <f t="shared" ref="AH67" si="42">IF(AA67&lt;$B$4,0,(1-AG67)*AF67)</f>
        <v>41676.628366962213</v>
      </c>
      <c r="AI67" s="141">
        <f t="shared" si="14"/>
        <v>0</v>
      </c>
      <c r="AJ67" s="141">
        <f t="shared" si="34"/>
        <v>2562450.1471897964</v>
      </c>
      <c r="AL67">
        <f t="shared" si="29"/>
        <v>99</v>
      </c>
      <c r="AM67" s="8">
        <v>0.14705882352941177</v>
      </c>
      <c r="AN67" s="392">
        <f t="shared" ref="AN67" si="43">IF(AL67&lt;$B$9, 0, MAX(AM67,$B$10))</f>
        <v>0.14705882352941177</v>
      </c>
      <c r="AO67" s="141">
        <f t="shared" ca="1" si="16"/>
        <v>333687.32702293387</v>
      </c>
      <c r="AP67" s="141">
        <f ca="1">IFERROR((1-AN67)*AO67,"")</f>
        <v>284615.66128426709</v>
      </c>
      <c r="AQ67" s="141">
        <f t="shared" ca="1" si="18"/>
        <v>49071.66573866675</v>
      </c>
      <c r="AR67" s="8">
        <v>0</v>
      </c>
      <c r="AS67" s="141">
        <f t="shared" ref="AS67" ca="1" si="44">IF(AL67&lt;$B$4,0,(1-AR67)*AQ67)</f>
        <v>49071.66573866675</v>
      </c>
      <c r="AT67" s="141">
        <f t="shared" si="19"/>
        <v>0</v>
      </c>
      <c r="AU67" s="141">
        <f t="shared" ca="1" si="35"/>
        <v>3017127.3930252581</v>
      </c>
    </row>
    <row r="68" spans="16:47" x14ac:dyDescent="0.2">
      <c r="P68" s="339">
        <f t="shared" si="27"/>
        <v>100</v>
      </c>
      <c r="Q68" s="8">
        <v>0.15625</v>
      </c>
      <c r="R68" s="392">
        <f>IF(P68&lt;$B$9, 0, MAX(Q68,$B$10))</f>
        <v>0.15625</v>
      </c>
      <c r="S68" s="141">
        <f t="shared" si="31"/>
        <v>414152.46803952107</v>
      </c>
      <c r="T68" s="141">
        <f>(0)*S68</f>
        <v>0</v>
      </c>
      <c r="U68" s="141">
        <f>1*S68</f>
        <v>414152.46803952107</v>
      </c>
      <c r="V68" s="8">
        <f t="shared" si="39"/>
        <v>0.35</v>
      </c>
      <c r="W68" s="141">
        <f>IF(P68&lt;$B$4,"",(1-V68)*U68)</f>
        <v>269199.10422568873</v>
      </c>
      <c r="X68" s="141">
        <f t="shared" ref="X68" si="45">U68*V68</f>
        <v>144953.36381383237</v>
      </c>
      <c r="Y68" s="344">
        <f t="shared" ref="Y68" si="46">IF(W68&gt;0, IF(Y67="",W68, (Y67*(1+$B$8)+W68)),"")</f>
        <v>3122900.0842500199</v>
      </c>
      <c r="AA68" s="339">
        <f t="shared" si="28"/>
        <v>100</v>
      </c>
      <c r="AB68" s="8">
        <v>0.15625</v>
      </c>
      <c r="AC68" s="392">
        <f>IF(AA68&lt;$B$9, 0, MAX(AB68,$B$10))</f>
        <v>0.15625</v>
      </c>
      <c r="AD68" s="141">
        <f t="shared" si="30"/>
        <v>258645.15564536751</v>
      </c>
      <c r="AE68" s="141">
        <f>(0)*AD68</f>
        <v>0</v>
      </c>
      <c r="AF68" s="141">
        <f>1*AD68</f>
        <v>258645.15564536751</v>
      </c>
      <c r="AG68" s="8">
        <v>0</v>
      </c>
      <c r="AH68" s="141">
        <f t="shared" ref="AH68" si="47">IF(AA68&lt;$B$4,"",(1-AG68)*AF68)</f>
        <v>258645.15564536751</v>
      </c>
      <c r="AI68" s="141">
        <f t="shared" ref="AI68" si="48">IF(AA68=$B$4,$B$14,0)</f>
        <v>0</v>
      </c>
      <c r="AJ68" s="344">
        <f t="shared" si="34"/>
        <v>3000466.81313845</v>
      </c>
      <c r="AL68" s="339">
        <f t="shared" si="29"/>
        <v>100</v>
      </c>
      <c r="AM68" s="8">
        <v>0.15625</v>
      </c>
      <c r="AN68" s="392">
        <f>IF(AL68&lt;$B$9, 0, MAX(AM68,$B$10))</f>
        <v>0.15625</v>
      </c>
      <c r="AO68" s="141">
        <f t="shared" ref="AO68" ca="1" si="49">IF(AL68=$B$4,$B$16+$B$28,IF(AO67="","",AP67*(1+$B$8)))</f>
        <v>304538.75757416582</v>
      </c>
      <c r="AP68" s="141">
        <f ca="1">(0)*AO68</f>
        <v>0</v>
      </c>
      <c r="AQ68" s="141">
        <f ca="1">1*AO68</f>
        <v>304538.75757416582</v>
      </c>
      <c r="AR68" s="8">
        <v>0</v>
      </c>
      <c r="AS68" s="141">
        <f t="shared" ref="AS68" ca="1" si="50">IF(AL68&lt;$B$4,"",(1-AR68)*AQ68)</f>
        <v>304538.75757416582</v>
      </c>
      <c r="AT68" s="141">
        <f t="shared" ref="AT68" si="51">IF(AL68=$B$4,$B$14,0)</f>
        <v>0</v>
      </c>
      <c r="AU68" s="344">
        <f t="shared" ca="1" si="35"/>
        <v>3532865.068111192</v>
      </c>
    </row>
  </sheetData>
  <mergeCells count="13">
    <mergeCell ref="A26:B26"/>
    <mergeCell ref="A1:B2"/>
    <mergeCell ref="D22:F22"/>
    <mergeCell ref="J22:L22"/>
    <mergeCell ref="F31:G31"/>
    <mergeCell ref="L31:M31"/>
    <mergeCell ref="A20:B20"/>
    <mergeCell ref="D4:N4"/>
    <mergeCell ref="D6:F6"/>
    <mergeCell ref="J6:L6"/>
    <mergeCell ref="F16:G16"/>
    <mergeCell ref="L16:M16"/>
    <mergeCell ref="D20:N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A0C4-158A-764A-AB80-DD79C7132A69}">
  <dimension ref="B1:R18"/>
  <sheetViews>
    <sheetView topLeftCell="B1" workbookViewId="0">
      <selection activeCell="C18" sqref="C18"/>
    </sheetView>
  </sheetViews>
  <sheetFormatPr baseColWidth="10" defaultColWidth="10.83203125" defaultRowHeight="15" x14ac:dyDescent="0.2"/>
  <cols>
    <col min="2" max="2" width="20.83203125" customWidth="1"/>
    <col min="3" max="3" width="12.1640625" bestFit="1" customWidth="1"/>
    <col min="5" max="5" width="15.83203125" customWidth="1"/>
    <col min="6" max="6" width="14.1640625" customWidth="1"/>
    <col min="7" max="8" width="18.1640625" customWidth="1"/>
    <col min="9" max="9" width="23.83203125" customWidth="1"/>
    <col min="10" max="10" width="28.5" customWidth="1"/>
    <col min="11" max="11" width="4.1640625" customWidth="1"/>
    <col min="12" max="12" width="15.33203125" customWidth="1"/>
    <col min="13" max="13" width="16.83203125" customWidth="1"/>
    <col min="14" max="14" width="18.83203125" customWidth="1"/>
    <col min="15" max="16" width="23.83203125" customWidth="1"/>
    <col min="17" max="17" width="27.1640625" customWidth="1"/>
    <col min="18" max="18" width="13.5" customWidth="1"/>
    <col min="19" max="19" width="19.33203125" customWidth="1"/>
  </cols>
  <sheetData>
    <row r="1" spans="2:18" ht="16" thickBot="1" x14ac:dyDescent="0.25"/>
    <row r="2" spans="2:18" x14ac:dyDescent="0.2">
      <c r="B2" s="268" t="s">
        <v>2</v>
      </c>
      <c r="C2" s="269" t="str">
        <f>'Strategy comparison'!C4</f>
        <v>Married-Joint</v>
      </c>
      <c r="E2" s="203" t="s">
        <v>106</v>
      </c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195"/>
    </row>
    <row r="3" spans="2:18" ht="16" thickBot="1" x14ac:dyDescent="0.25">
      <c r="B3" s="276" t="s">
        <v>15</v>
      </c>
      <c r="C3" s="277">
        <f>'Strategy comparison'!C6</f>
        <v>0</v>
      </c>
      <c r="E3" s="96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8"/>
    </row>
    <row r="4" spans="2:18" ht="16" thickBot="1" x14ac:dyDescent="0.25">
      <c r="B4" s="150" t="s">
        <v>134</v>
      </c>
      <c r="C4" s="151">
        <f>C3</f>
        <v>0</v>
      </c>
      <c r="E4" s="419" t="s">
        <v>17</v>
      </c>
      <c r="F4" s="420"/>
      <c r="G4" s="421"/>
      <c r="H4" s="7" t="s">
        <v>100</v>
      </c>
      <c r="I4" s="7" t="s">
        <v>136</v>
      </c>
      <c r="J4" s="7" t="s">
        <v>138</v>
      </c>
      <c r="K4" s="97"/>
      <c r="L4" s="419" t="s">
        <v>19</v>
      </c>
      <c r="M4" s="420"/>
      <c r="N4" s="421"/>
      <c r="O4" s="7" t="s">
        <v>100</v>
      </c>
      <c r="P4" s="7" t="s">
        <v>136</v>
      </c>
      <c r="Q4" s="7" t="s">
        <v>138</v>
      </c>
    </row>
    <row r="5" spans="2:18" ht="16" thickBot="1" x14ac:dyDescent="0.25">
      <c r="B5" s="278" t="s">
        <v>135</v>
      </c>
      <c r="C5" s="279">
        <f>IF(C2="Married-Joint",H15-I15,O15-P15)</f>
        <v>0</v>
      </c>
      <c r="E5" s="30"/>
      <c r="F5" s="31"/>
      <c r="G5" s="32"/>
      <c r="H5" s="69">
        <f>'No planning'!J7</f>
        <v>400000</v>
      </c>
      <c r="I5" s="69">
        <f>H5-C4</f>
        <v>400000</v>
      </c>
      <c r="J5" s="217">
        <f>H5-C6</f>
        <v>400000</v>
      </c>
      <c r="K5" s="97"/>
      <c r="L5" s="30"/>
      <c r="M5" s="31"/>
      <c r="N5" s="32"/>
      <c r="O5" s="233">
        <f>H5</f>
        <v>400000</v>
      </c>
      <c r="P5" s="233">
        <f>I5</f>
        <v>400000</v>
      </c>
      <c r="Q5" s="283">
        <f>J5</f>
        <v>400000</v>
      </c>
    </row>
    <row r="6" spans="2:18" x14ac:dyDescent="0.2">
      <c r="B6" s="280" t="s">
        <v>132</v>
      </c>
      <c r="C6" s="281">
        <f>'DB comparison'!C2</f>
        <v>0</v>
      </c>
      <c r="E6" s="36">
        <f>'Tax Tables'!B6</f>
        <v>0</v>
      </c>
      <c r="F6" s="43">
        <f>'Tax Tables'!C6</f>
        <v>24800</v>
      </c>
      <c r="G6" s="37">
        <f>'Tax Tables'!D6</f>
        <v>0.1</v>
      </c>
      <c r="H6" s="38">
        <f t="shared" ref="H6:H11" si="0">IF(IF(H$5&gt;F6,(F6-E6)*G6,(H$5-E6)*G6)&gt;0,IF(H$5&gt;F6,(F6-E6)*G6,(H$5-E6)*G6),0)</f>
        <v>2480</v>
      </c>
      <c r="I6" s="36">
        <f t="shared" ref="I6:I11" si="1">IF(IF(I$5&gt;F6,(F6-E6)*G6,(I$5-E6)*G6)&gt;0,IF(I$5&gt;F6,(F6-E6)*G6,(I$5-E6)*G6),0)</f>
        <v>2480</v>
      </c>
      <c r="J6" s="38">
        <f t="shared" ref="J6:J11" si="2">IF(IF(J$5&gt;F6,(F6-E6)*G6,(J$5-E6)*G6)&gt;0,IF(J$5&gt;F6,(F6-E6)*G6,(J$5-E6)*G6),0)</f>
        <v>2480</v>
      </c>
      <c r="K6" s="97"/>
      <c r="L6" s="34">
        <f>'Tax Tables'!F6</f>
        <v>0</v>
      </c>
      <c r="M6" s="44">
        <f>'Tax Tables'!G6</f>
        <v>12400</v>
      </c>
      <c r="N6" s="10">
        <f>'Tax Tables'!H6</f>
        <v>0.1</v>
      </c>
      <c r="O6" s="38">
        <f t="shared" ref="O6:O11" si="3">IF(IF(O$5&gt;M6,(M6-L6)*N6,(O$5-L6)*N6)&gt;0,IF(O$5&gt;M6,(M6-L6)*N6,(O$5-L6)*N6),0)</f>
        <v>1240</v>
      </c>
      <c r="P6" s="36">
        <f t="shared" ref="P6:P11" si="4">IF(IF(P$5&gt;M6,(M6-L6)*N6,(P$5-L6)*N6)&gt;0,IF(P$5&gt;M6,(M6-L6)*N6,(P$5-L6)*N6),0)</f>
        <v>1240</v>
      </c>
      <c r="Q6" s="38">
        <f t="shared" ref="Q6:Q11" si="5">IF(IF(Q$5&gt;M6,(M6-L6)*N6,(Q$5-L6)*N6)&gt;0,IF(Q$5&gt;M6,(M6-L6)*N6,(Q$5-L6)*N6),0)</f>
        <v>1240</v>
      </c>
    </row>
    <row r="7" spans="2:18" x14ac:dyDescent="0.2">
      <c r="B7" s="272" t="s">
        <v>137</v>
      </c>
      <c r="C7" s="273">
        <f>C3-C6</f>
        <v>0</v>
      </c>
      <c r="E7" s="34">
        <f>'Tax Tables'!B7</f>
        <v>24801</v>
      </c>
      <c r="F7" s="44">
        <f>'Tax Tables'!C7</f>
        <v>100800</v>
      </c>
      <c r="G7" s="10">
        <f>'Tax Tables'!D7</f>
        <v>0.12</v>
      </c>
      <c r="H7" s="11">
        <f t="shared" si="0"/>
        <v>9119.8799999999992</v>
      </c>
      <c r="I7" s="34">
        <f t="shared" si="1"/>
        <v>9119.8799999999992</v>
      </c>
      <c r="J7" s="11">
        <f t="shared" si="2"/>
        <v>9119.8799999999992</v>
      </c>
      <c r="K7" s="97"/>
      <c r="L7" s="34">
        <f>'Tax Tables'!F7</f>
        <v>12401</v>
      </c>
      <c r="M7" s="44">
        <f>'Tax Tables'!G7</f>
        <v>50400</v>
      </c>
      <c r="N7" s="10">
        <f>'Tax Tables'!H7</f>
        <v>0.12</v>
      </c>
      <c r="O7" s="11">
        <f t="shared" si="3"/>
        <v>4559.88</v>
      </c>
      <c r="P7" s="34">
        <f t="shared" si="4"/>
        <v>4559.88</v>
      </c>
      <c r="Q7" s="11">
        <f t="shared" si="5"/>
        <v>4559.88</v>
      </c>
      <c r="R7" s="196"/>
    </row>
    <row r="8" spans="2:18" ht="16" thickBot="1" x14ac:dyDescent="0.25">
      <c r="B8" s="267" t="s">
        <v>139</v>
      </c>
      <c r="C8" s="282">
        <f>IF(C2="Married-Joint",J15-I15,Q15-P15)</f>
        <v>0</v>
      </c>
      <c r="E8" s="34">
        <f>'Tax Tables'!B8</f>
        <v>100801</v>
      </c>
      <c r="F8" s="44">
        <f>'Tax Tables'!C8</f>
        <v>211400</v>
      </c>
      <c r="G8" s="10">
        <f>'Tax Tables'!D8</f>
        <v>0.22</v>
      </c>
      <c r="H8" s="11">
        <f t="shared" si="0"/>
        <v>24331.78</v>
      </c>
      <c r="I8" s="34">
        <f t="shared" si="1"/>
        <v>24331.78</v>
      </c>
      <c r="J8" s="11">
        <f t="shared" si="2"/>
        <v>24331.78</v>
      </c>
      <c r="K8" s="97"/>
      <c r="L8" s="34">
        <f>'Tax Tables'!F8</f>
        <v>50401</v>
      </c>
      <c r="M8" s="44">
        <f>'Tax Tables'!G8</f>
        <v>105700</v>
      </c>
      <c r="N8" s="10">
        <f>'Tax Tables'!H8</f>
        <v>0.22</v>
      </c>
      <c r="O8" s="11">
        <f t="shared" si="3"/>
        <v>12165.78</v>
      </c>
      <c r="P8" s="34">
        <f t="shared" si="4"/>
        <v>12165.78</v>
      </c>
      <c r="Q8" s="11">
        <f t="shared" si="5"/>
        <v>12165.78</v>
      </c>
    </row>
    <row r="9" spans="2:18" x14ac:dyDescent="0.2">
      <c r="B9" s="270" t="s">
        <v>155</v>
      </c>
      <c r="C9" s="271">
        <f>C5-C8</f>
        <v>0</v>
      </c>
      <c r="E9" s="34">
        <f>'Tax Tables'!B9</f>
        <v>211401</v>
      </c>
      <c r="F9" s="44">
        <f>'Tax Tables'!C9</f>
        <v>403550</v>
      </c>
      <c r="G9" s="10">
        <f>'Tax Tables'!D9</f>
        <v>0.24</v>
      </c>
      <c r="H9" s="11">
        <f t="shared" si="0"/>
        <v>45263.759999999995</v>
      </c>
      <c r="I9" s="34">
        <f t="shared" si="1"/>
        <v>45263.759999999995</v>
      </c>
      <c r="J9" s="11">
        <f t="shared" si="2"/>
        <v>45263.759999999995</v>
      </c>
      <c r="K9" s="97"/>
      <c r="L9" s="34">
        <f>'Tax Tables'!F9</f>
        <v>105701</v>
      </c>
      <c r="M9" s="44">
        <f>'Tax Tables'!G9</f>
        <v>201775</v>
      </c>
      <c r="N9" s="10">
        <f>'Tax Tables'!H9</f>
        <v>0.24</v>
      </c>
      <c r="O9" s="11">
        <f t="shared" si="3"/>
        <v>23057.759999999998</v>
      </c>
      <c r="P9" s="34">
        <f t="shared" si="4"/>
        <v>23057.759999999998</v>
      </c>
      <c r="Q9" s="11">
        <f t="shared" si="5"/>
        <v>23057.759999999998</v>
      </c>
    </row>
    <row r="10" spans="2:18" x14ac:dyDescent="0.2">
      <c r="B10" s="270" t="s">
        <v>140</v>
      </c>
      <c r="C10" s="271">
        <f>0.03*C6</f>
        <v>0</v>
      </c>
      <c r="E10" s="34">
        <f>'Tax Tables'!B10</f>
        <v>403551</v>
      </c>
      <c r="F10" s="44">
        <f>'Tax Tables'!C10</f>
        <v>512450</v>
      </c>
      <c r="G10" s="10">
        <f>'Tax Tables'!D10</f>
        <v>0.32</v>
      </c>
      <c r="H10" s="11">
        <f t="shared" si="0"/>
        <v>0</v>
      </c>
      <c r="I10" s="34">
        <f t="shared" si="1"/>
        <v>0</v>
      </c>
      <c r="J10" s="11">
        <f t="shared" si="2"/>
        <v>0</v>
      </c>
      <c r="K10" s="97"/>
      <c r="L10" s="34">
        <f>'Tax Tables'!F10</f>
        <v>201776</v>
      </c>
      <c r="M10" s="44">
        <f>'Tax Tables'!G10</f>
        <v>256225</v>
      </c>
      <c r="N10" s="10">
        <f>'Tax Tables'!H10</f>
        <v>0.32</v>
      </c>
      <c r="O10" s="11">
        <f t="shared" si="3"/>
        <v>17423.68</v>
      </c>
      <c r="P10" s="34">
        <f t="shared" si="4"/>
        <v>17423.68</v>
      </c>
      <c r="Q10" s="11">
        <f t="shared" si="5"/>
        <v>17423.68</v>
      </c>
    </row>
    <row r="11" spans="2:18" ht="16" thickBot="1" x14ac:dyDescent="0.25">
      <c r="B11" s="274" t="s">
        <v>141</v>
      </c>
      <c r="C11" s="275">
        <f>C9+C10</f>
        <v>0</v>
      </c>
      <c r="E11" s="34">
        <f>'Tax Tables'!B11</f>
        <v>512451</v>
      </c>
      <c r="F11" s="44">
        <f>'Tax Tables'!C11</f>
        <v>768700</v>
      </c>
      <c r="G11" s="10">
        <f>'Tax Tables'!D11</f>
        <v>0.35</v>
      </c>
      <c r="H11" s="11">
        <f t="shared" si="0"/>
        <v>0</v>
      </c>
      <c r="I11" s="34">
        <f t="shared" si="1"/>
        <v>0</v>
      </c>
      <c r="J11" s="11">
        <f t="shared" si="2"/>
        <v>0</v>
      </c>
      <c r="K11" s="97"/>
      <c r="L11" s="34">
        <f>'Tax Tables'!F11</f>
        <v>256226</v>
      </c>
      <c r="M11" s="44">
        <f>'Tax Tables'!G11</f>
        <v>640600</v>
      </c>
      <c r="N11" s="10">
        <f>'Tax Tables'!H11</f>
        <v>0.35</v>
      </c>
      <c r="O11" s="11">
        <f t="shared" si="3"/>
        <v>50320.899999999994</v>
      </c>
      <c r="P11" s="34">
        <f t="shared" si="4"/>
        <v>50320.899999999994</v>
      </c>
      <c r="Q11" s="11">
        <f t="shared" si="5"/>
        <v>50320.899999999994</v>
      </c>
    </row>
    <row r="12" spans="2:18" ht="16" thickBot="1" x14ac:dyDescent="0.25">
      <c r="C12" s="141"/>
      <c r="E12" s="35">
        <f>'Tax Tables'!B12</f>
        <v>768701</v>
      </c>
      <c r="F12" s="45">
        <f>'Tax Tables'!C12</f>
        <v>99999999999</v>
      </c>
      <c r="G12" s="13">
        <f>'Tax Tables'!D12</f>
        <v>0.37</v>
      </c>
      <c r="H12" s="14">
        <f>IF(H5&gt;=E12,(H5-E12)*G12,0)</f>
        <v>0</v>
      </c>
      <c r="I12" s="35">
        <f>IF(I5&gt;=E12,(I5-E12)*G12,0)</f>
        <v>0</v>
      </c>
      <c r="J12" s="14">
        <f>IF(J5&gt;=E12,(J5-E12)*G12,0)</f>
        <v>0</v>
      </c>
      <c r="K12" s="97"/>
      <c r="L12" s="35">
        <f>'Tax Tables'!F12</f>
        <v>640601</v>
      </c>
      <c r="M12" s="45">
        <f>'Tax Tables'!G12</f>
        <v>99999999999</v>
      </c>
      <c r="N12" s="13">
        <f>'Tax Tables'!H12</f>
        <v>0.37</v>
      </c>
      <c r="O12" s="14">
        <f>IF(O5&gt;=L12,(O5-L12)*N12,0)</f>
        <v>0</v>
      </c>
      <c r="P12" s="35">
        <f>IF(P5&gt;=L12,(P5-L12)*N12,0)</f>
        <v>0</v>
      </c>
      <c r="Q12" s="14">
        <f>IF(Q5&gt;=L12,(Q5-L12)*N12,0)</f>
        <v>0</v>
      </c>
    </row>
    <row r="13" spans="2:18" ht="16" thickBot="1" x14ac:dyDescent="0.25">
      <c r="B13" s="406" t="s">
        <v>92</v>
      </c>
      <c r="C13" s="408"/>
      <c r="E13" s="96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/>
      <c r="Q13" s="98"/>
    </row>
    <row r="14" spans="2:18" ht="16" thickBot="1" x14ac:dyDescent="0.25">
      <c r="B14" s="9" t="s">
        <v>144</v>
      </c>
      <c r="C14" s="135">
        <f>IF(C2="Married-Joint", J15,Q15)</f>
        <v>81195.419999999984</v>
      </c>
      <c r="E14" s="96"/>
      <c r="F14" s="97"/>
      <c r="G14" s="97"/>
      <c r="H14" s="214" t="s">
        <v>26</v>
      </c>
      <c r="I14" s="234"/>
      <c r="J14" s="104"/>
      <c r="K14" s="97"/>
      <c r="L14" s="97"/>
      <c r="M14" s="97"/>
      <c r="O14" s="422" t="s">
        <v>26</v>
      </c>
      <c r="P14" s="443"/>
      <c r="Q14" s="423"/>
    </row>
    <row r="15" spans="2:18" ht="16" thickBot="1" x14ac:dyDescent="0.25">
      <c r="B15" s="9" t="s">
        <v>111</v>
      </c>
      <c r="C15" s="135">
        <f>'No planning'!C20</f>
        <v>0</v>
      </c>
      <c r="E15" s="101"/>
      <c r="F15" s="100"/>
      <c r="G15" s="100"/>
      <c r="H15" s="106">
        <f>SUM(H6:H12)</f>
        <v>81195.419999999984</v>
      </c>
      <c r="I15" s="106">
        <f>SUM(I6:I12)</f>
        <v>81195.419999999984</v>
      </c>
      <c r="J15" s="106">
        <f>SUM(J6:J12)</f>
        <v>81195.419999999984</v>
      </c>
      <c r="K15" s="197"/>
      <c r="L15" s="100"/>
      <c r="M15" s="100"/>
      <c r="N15" s="100"/>
      <c r="O15" s="106">
        <f>SUM(O6:O12)</f>
        <v>108768</v>
      </c>
      <c r="P15" s="106">
        <f>SUM(P6:P12)</f>
        <v>108768</v>
      </c>
      <c r="Q15" s="106">
        <f>SUM(Q6:Q12)</f>
        <v>108768</v>
      </c>
    </row>
    <row r="16" spans="2:18" x14ac:dyDescent="0.2">
      <c r="B16" s="9" t="s">
        <v>146</v>
      </c>
      <c r="C16" s="135">
        <f>MAX('No planning'!C21-(0.03*'DB Only'!C6),0)</f>
        <v>12000</v>
      </c>
    </row>
    <row r="17" spans="2:3" ht="16" thickBot="1" x14ac:dyDescent="0.25">
      <c r="B17" s="15" t="s">
        <v>90</v>
      </c>
      <c r="C17" s="140">
        <f>MAX('No planning'!C22-(0.038*C6),0)</f>
        <v>5700</v>
      </c>
    </row>
    <row r="18" spans="2:3" ht="16" thickBot="1" x14ac:dyDescent="0.25">
      <c r="B18" s="19" t="s">
        <v>197</v>
      </c>
      <c r="C18" s="337">
        <f>SUM(C14:C17)</f>
        <v>98895.419999999984</v>
      </c>
    </row>
  </sheetData>
  <mergeCells count="4">
    <mergeCell ref="O14:Q14"/>
    <mergeCell ref="B13:C13"/>
    <mergeCell ref="E4:G4"/>
    <mergeCell ref="L4:N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92B9-F513-A341-9717-923681D8F2D3}">
  <dimension ref="B1:P53"/>
  <sheetViews>
    <sheetView zoomScale="110" zoomScaleNormal="110" workbookViewId="0">
      <selection activeCell="C25" sqref="C25"/>
    </sheetView>
  </sheetViews>
  <sheetFormatPr baseColWidth="10" defaultColWidth="8.83203125" defaultRowHeight="15" x14ac:dyDescent="0.2"/>
  <cols>
    <col min="2" max="2" width="24.5" bestFit="1" customWidth="1"/>
    <col min="3" max="3" width="15.5" bestFit="1" customWidth="1"/>
    <col min="4" max="4" width="19.5" bestFit="1" customWidth="1"/>
    <col min="5" max="5" width="14.33203125" bestFit="1" customWidth="1"/>
    <col min="6" max="6" width="12.5" bestFit="1" customWidth="1"/>
    <col min="7" max="7" width="16.6640625" customWidth="1"/>
    <col min="8" max="8" width="14.33203125" bestFit="1" customWidth="1"/>
    <col min="9" max="9" width="16.83203125" bestFit="1" customWidth="1"/>
    <col min="10" max="10" width="18.83203125" customWidth="1"/>
    <col min="11" max="11" width="14.33203125" bestFit="1" customWidth="1"/>
    <col min="12" max="12" width="12.5" bestFit="1" customWidth="1"/>
    <col min="13" max="13" width="16.83203125" customWidth="1"/>
    <col min="14" max="14" width="12.5" bestFit="1" customWidth="1"/>
    <col min="15" max="15" width="13.83203125" bestFit="1" customWidth="1"/>
    <col min="16" max="16" width="16.83203125" customWidth="1"/>
  </cols>
  <sheetData>
    <row r="1" spans="2:16" ht="16" thickBot="1" x14ac:dyDescent="0.25"/>
    <row r="2" spans="2:16" ht="16" thickBot="1" x14ac:dyDescent="0.25">
      <c r="B2" s="74"/>
      <c r="C2" s="75"/>
      <c r="D2" s="57" t="s">
        <v>29</v>
      </c>
    </row>
    <row r="3" spans="2:16" ht="16" thickBot="1" x14ac:dyDescent="0.25">
      <c r="B3" s="27" t="s">
        <v>13</v>
      </c>
      <c r="C3" s="148" t="str">
        <f>'Strategy comparison'!C4</f>
        <v>Married-Joint</v>
      </c>
      <c r="D3" s="58" t="s">
        <v>0</v>
      </c>
    </row>
    <row r="4" spans="2:16" ht="16" thickBot="1" x14ac:dyDescent="0.25">
      <c r="B4" s="27" t="s">
        <v>14</v>
      </c>
      <c r="C4" s="89">
        <f>'Strategy comparison'!C5</f>
        <v>400000</v>
      </c>
      <c r="D4" s="42">
        <v>1</v>
      </c>
      <c r="F4" s="437" t="s">
        <v>106</v>
      </c>
      <c r="G4" s="438"/>
      <c r="H4" s="438"/>
      <c r="I4" s="438"/>
      <c r="J4" s="438"/>
      <c r="K4" s="438"/>
      <c r="L4" s="438"/>
      <c r="M4" s="438"/>
      <c r="N4" s="438"/>
      <c r="O4" s="438"/>
      <c r="P4" s="439"/>
    </row>
    <row r="5" spans="2:16" ht="16" thickBot="1" x14ac:dyDescent="0.25">
      <c r="B5" s="27" t="s">
        <v>15</v>
      </c>
      <c r="C5" s="52">
        <f>'Strategy comparison'!C6</f>
        <v>0</v>
      </c>
      <c r="D5" s="61"/>
      <c r="F5" s="96"/>
      <c r="G5" s="97"/>
      <c r="H5" s="97"/>
      <c r="I5" s="97"/>
      <c r="J5" s="97"/>
      <c r="K5" s="97"/>
      <c r="L5" s="97"/>
      <c r="M5" s="97"/>
      <c r="N5" s="97"/>
      <c r="O5" s="97"/>
      <c r="P5" s="98"/>
    </row>
    <row r="6" spans="2:16" ht="16" thickBot="1" x14ac:dyDescent="0.25">
      <c r="B6" s="27" t="s">
        <v>16</v>
      </c>
      <c r="C6" s="52">
        <f>'Strategy comparison'!C7</f>
        <v>0</v>
      </c>
      <c r="D6" s="62" t="s">
        <v>72</v>
      </c>
      <c r="F6" s="419" t="s">
        <v>17</v>
      </c>
      <c r="G6" s="420"/>
      <c r="H6" s="421"/>
      <c r="I6" s="7" t="s">
        <v>100</v>
      </c>
      <c r="J6" s="7" t="s">
        <v>161</v>
      </c>
      <c r="L6" s="419" t="s">
        <v>19</v>
      </c>
      <c r="M6" s="420"/>
      <c r="N6" s="421"/>
      <c r="O6" s="7" t="s">
        <v>100</v>
      </c>
      <c r="P6" s="7" t="s">
        <v>162</v>
      </c>
    </row>
    <row r="7" spans="2:16" ht="16" thickBot="1" x14ac:dyDescent="0.25">
      <c r="B7" s="27" t="s">
        <v>96</v>
      </c>
      <c r="C7" s="52">
        <f>'Strategy comparison'!$C$9</f>
        <v>0</v>
      </c>
      <c r="D7" s="63">
        <v>4.75</v>
      </c>
      <c r="F7" s="116"/>
      <c r="G7" s="117"/>
      <c r="H7" s="82"/>
      <c r="I7" s="69">
        <f>C10</f>
        <v>400000</v>
      </c>
      <c r="J7" s="69">
        <f>C10-MIN(C10,C20)</f>
        <v>100800</v>
      </c>
      <c r="K7" s="97"/>
      <c r="L7" s="116"/>
      <c r="M7" s="117"/>
      <c r="N7" s="82"/>
      <c r="O7" s="233">
        <f>I7</f>
        <v>400000</v>
      </c>
      <c r="P7" s="289">
        <f>J7</f>
        <v>100800</v>
      </c>
    </row>
    <row r="8" spans="2:16" x14ac:dyDescent="0.2">
      <c r="B8" s="27" t="s">
        <v>98</v>
      </c>
      <c r="C8" s="52">
        <f>'Strategy comparison'!$C$10</f>
        <v>0</v>
      </c>
      <c r="D8" s="2" t="s">
        <v>32</v>
      </c>
      <c r="F8" s="34">
        <f>'Tax Tables'!B6</f>
        <v>0</v>
      </c>
      <c r="G8" s="44">
        <f>'Tax Tables'!C6</f>
        <v>24800</v>
      </c>
      <c r="H8" s="10">
        <f>'Tax Tables'!D6</f>
        <v>0.1</v>
      </c>
      <c r="I8" s="38">
        <f t="shared" ref="I8:I13" si="0">IF(IF(I$7&gt;G8,(G8-F8)*H8,(I$7-F8)*H8)&gt;0,IF(I$7&gt;G8,(G8-F8)*H8,(I$7-F8)*H8),0)</f>
        <v>2480</v>
      </c>
      <c r="J8" s="38">
        <f t="shared" ref="J8:J13" si="1">IF(IF(J$7&gt;G8,(G8-F8)*H8,(J$7-F8)*H8)&gt;0,IF(J$7&gt;G8,(G8-F8)*H8,(J$7-F8)*H8),0)</f>
        <v>2480</v>
      </c>
      <c r="K8" s="97"/>
      <c r="L8" s="34">
        <f>'Tax Tables'!F6</f>
        <v>0</v>
      </c>
      <c r="M8" s="44">
        <f>'Tax Tables'!G6</f>
        <v>12400</v>
      </c>
      <c r="N8" s="10">
        <f>'Tax Tables'!H6</f>
        <v>0.1</v>
      </c>
      <c r="O8" s="38">
        <f t="shared" ref="O8:O13" si="2">IF(IF(O$7&gt;M8,(M8-L8)*N8,(O$7-L8)*N8)&gt;0,IF(O$7&gt;M8,(M8-L8)*N8,(O$7-L8)*N8),0)</f>
        <v>1240</v>
      </c>
      <c r="P8" s="38">
        <f t="shared" ref="P8:P13" si="3">IF(IF(P$7&gt;M8,(M8-L8)*N8,(P$7-L8)*N8)&gt;0,IF(P$7&gt;M8,(M8-L8)*N8,(P$7-L8)*N8),0)</f>
        <v>1240</v>
      </c>
    </row>
    <row r="9" spans="2:16" x14ac:dyDescent="0.2">
      <c r="B9" s="27" t="s">
        <v>97</v>
      </c>
      <c r="C9" s="52">
        <f>'Strategy comparison'!$C$11</f>
        <v>0</v>
      </c>
      <c r="D9" s="3" t="s">
        <v>34</v>
      </c>
      <c r="F9" s="34">
        <f>'Tax Tables'!B7</f>
        <v>24801</v>
      </c>
      <c r="G9" s="44">
        <f>'Tax Tables'!C7</f>
        <v>100800</v>
      </c>
      <c r="H9" s="10">
        <f>'Tax Tables'!D7</f>
        <v>0.12</v>
      </c>
      <c r="I9" s="11">
        <f t="shared" si="0"/>
        <v>9119.8799999999992</v>
      </c>
      <c r="J9" s="11">
        <f t="shared" si="1"/>
        <v>9119.8799999999992</v>
      </c>
      <c r="K9" s="97"/>
      <c r="L9" s="34">
        <f>'Tax Tables'!F7</f>
        <v>12401</v>
      </c>
      <c r="M9" s="44">
        <f>'Tax Tables'!G7</f>
        <v>50400</v>
      </c>
      <c r="N9" s="10">
        <f>'Tax Tables'!H7</f>
        <v>0.12</v>
      </c>
      <c r="O9" s="11">
        <f t="shared" si="2"/>
        <v>4559.88</v>
      </c>
      <c r="P9" s="11">
        <f t="shared" si="3"/>
        <v>4559.88</v>
      </c>
    </row>
    <row r="10" spans="2:16" ht="16" thickBot="1" x14ac:dyDescent="0.25">
      <c r="B10" s="27" t="s">
        <v>100</v>
      </c>
      <c r="C10" s="49">
        <f>SUM(C4:C7)+C9</f>
        <v>400000</v>
      </c>
      <c r="D10" s="5">
        <f>C20/D7</f>
        <v>62989.473684210527</v>
      </c>
      <c r="F10" s="34">
        <f>'Tax Tables'!B8</f>
        <v>100801</v>
      </c>
      <c r="G10" s="44">
        <f>'Tax Tables'!C8</f>
        <v>211400</v>
      </c>
      <c r="H10" s="10">
        <f>'Tax Tables'!D8</f>
        <v>0.22</v>
      </c>
      <c r="I10" s="11">
        <f t="shared" si="0"/>
        <v>24331.78</v>
      </c>
      <c r="J10" s="11">
        <f t="shared" si="1"/>
        <v>0</v>
      </c>
      <c r="K10" s="97"/>
      <c r="L10" s="34">
        <f>'Tax Tables'!F8</f>
        <v>50401</v>
      </c>
      <c r="M10" s="44">
        <f>'Tax Tables'!G8</f>
        <v>105700</v>
      </c>
      <c r="N10" s="10">
        <f>'Tax Tables'!H8</f>
        <v>0.22</v>
      </c>
      <c r="O10" s="11">
        <f t="shared" si="2"/>
        <v>12165.78</v>
      </c>
      <c r="P10" s="11">
        <f t="shared" si="3"/>
        <v>11087.78</v>
      </c>
    </row>
    <row r="11" spans="2:16" x14ac:dyDescent="0.2">
      <c r="B11" s="27" t="s">
        <v>20</v>
      </c>
      <c r="C11" s="49">
        <f>'Strategy comparison'!C8</f>
        <v>0</v>
      </c>
      <c r="D11" s="3" t="s">
        <v>35</v>
      </c>
      <c r="F11" s="34">
        <f>'Tax Tables'!B9</f>
        <v>211401</v>
      </c>
      <c r="G11" s="44">
        <f>'Tax Tables'!C9</f>
        <v>403550</v>
      </c>
      <c r="H11" s="10">
        <f>'Tax Tables'!D9</f>
        <v>0.24</v>
      </c>
      <c r="I11" s="11">
        <f t="shared" si="0"/>
        <v>45263.759999999995</v>
      </c>
      <c r="J11" s="11">
        <f t="shared" si="1"/>
        <v>0</v>
      </c>
      <c r="K11" s="97"/>
      <c r="L11" s="34">
        <f>'Tax Tables'!F9</f>
        <v>105701</v>
      </c>
      <c r="M11" s="44">
        <f>'Tax Tables'!G9</f>
        <v>201775</v>
      </c>
      <c r="N11" s="10">
        <f>'Tax Tables'!H9</f>
        <v>0.24</v>
      </c>
      <c r="O11" s="11">
        <f t="shared" si="2"/>
        <v>23057.759999999998</v>
      </c>
      <c r="P11" s="11">
        <f t="shared" si="3"/>
        <v>0</v>
      </c>
    </row>
    <row r="12" spans="2:16" ht="16" thickBot="1" x14ac:dyDescent="0.25">
      <c r="B12" s="27" t="s">
        <v>102</v>
      </c>
      <c r="C12" s="49">
        <f>C11+C8</f>
        <v>0</v>
      </c>
      <c r="D12" s="147">
        <v>0</v>
      </c>
      <c r="F12" s="34">
        <f>'Tax Tables'!B10</f>
        <v>403551</v>
      </c>
      <c r="G12" s="44">
        <f>'Tax Tables'!C10</f>
        <v>512450</v>
      </c>
      <c r="H12" s="10">
        <f>'Tax Tables'!D10</f>
        <v>0.32</v>
      </c>
      <c r="I12" s="11">
        <f t="shared" si="0"/>
        <v>0</v>
      </c>
      <c r="J12" s="11">
        <f t="shared" si="1"/>
        <v>0</v>
      </c>
      <c r="K12" s="97"/>
      <c r="L12" s="34">
        <f>'Tax Tables'!F10</f>
        <v>201776</v>
      </c>
      <c r="M12" s="44">
        <f>'Tax Tables'!G10</f>
        <v>256225</v>
      </c>
      <c r="N12" s="10">
        <f>'Tax Tables'!H10</f>
        <v>0.32</v>
      </c>
      <c r="O12" s="11">
        <f t="shared" si="2"/>
        <v>17423.68</v>
      </c>
      <c r="P12" s="11">
        <f t="shared" si="3"/>
        <v>0</v>
      </c>
    </row>
    <row r="13" spans="2:16" x14ac:dyDescent="0.2">
      <c r="B13" s="27" t="s">
        <v>18</v>
      </c>
      <c r="C13" s="49">
        <f>C10+C12</f>
        <v>400000</v>
      </c>
      <c r="D13" s="68" t="s">
        <v>36</v>
      </c>
      <c r="F13" s="34">
        <f>'Tax Tables'!B11</f>
        <v>512451</v>
      </c>
      <c r="G13" s="44">
        <f>'Tax Tables'!C11</f>
        <v>768700</v>
      </c>
      <c r="H13" s="10">
        <f>'Tax Tables'!D11</f>
        <v>0.35</v>
      </c>
      <c r="I13" s="11">
        <f t="shared" si="0"/>
        <v>0</v>
      </c>
      <c r="J13" s="11">
        <f t="shared" si="1"/>
        <v>0</v>
      </c>
      <c r="K13" s="97"/>
      <c r="L13" s="34">
        <f>'Tax Tables'!F11</f>
        <v>256226</v>
      </c>
      <c r="M13" s="44">
        <f>'Tax Tables'!G11</f>
        <v>640600</v>
      </c>
      <c r="N13" s="10">
        <f>'Tax Tables'!H11</f>
        <v>0.35</v>
      </c>
      <c r="O13" s="11">
        <f t="shared" si="2"/>
        <v>50320.899999999994</v>
      </c>
      <c r="P13" s="11">
        <f t="shared" si="3"/>
        <v>0</v>
      </c>
    </row>
    <row r="14" spans="2:16" ht="16" thickBot="1" x14ac:dyDescent="0.25">
      <c r="B14" s="28" t="s">
        <v>21</v>
      </c>
      <c r="C14" s="49">
        <f>IF(C3="Single",N17,IF(C3="Married-Joint",H17,"Filing Status?"))</f>
        <v>81195.419999999984</v>
      </c>
      <c r="D14" s="129">
        <f>D10*(1-D12)</f>
        <v>62989.473684210527</v>
      </c>
      <c r="E14" s="6"/>
      <c r="F14" s="35">
        <f>'Tax Tables'!B12</f>
        <v>768701</v>
      </c>
      <c r="G14" s="168">
        <f>'Tax Tables'!C12</f>
        <v>99999999999</v>
      </c>
      <c r="H14" s="13">
        <f>'Tax Tables'!D12</f>
        <v>0.37</v>
      </c>
      <c r="I14" s="14">
        <f>IF(I7&gt;=F14,(I7-F14)*H14,0)</f>
        <v>0</v>
      </c>
      <c r="J14" s="14">
        <f>IF(J7&gt;=F14,(J7-F14)*H14,0)</f>
        <v>0</v>
      </c>
      <c r="L14" s="35">
        <f>'Tax Tables'!F12</f>
        <v>640601</v>
      </c>
      <c r="M14" s="168">
        <f>'Tax Tables'!G12</f>
        <v>99999999999</v>
      </c>
      <c r="N14" s="13">
        <f>'Tax Tables'!H12</f>
        <v>0.37</v>
      </c>
      <c r="O14" s="14">
        <f>IF(O7&gt;=L14,(O7-L14)*N14,0)</f>
        <v>0</v>
      </c>
      <c r="P14" s="14">
        <f>IF(P7&gt;=L14,(P7-L14)*N14,0)</f>
        <v>0</v>
      </c>
    </row>
    <row r="15" spans="2:16" ht="16" thickBot="1" x14ac:dyDescent="0.25">
      <c r="B15" s="28" t="s">
        <v>23</v>
      </c>
      <c r="C15" s="49">
        <f>IF(C3="Single",N28,IF(C3="Married-Joint",H28,"Filing Status?"))</f>
        <v>0</v>
      </c>
      <c r="D15" s="68" t="s">
        <v>7</v>
      </c>
      <c r="E15" s="23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2:16" ht="16" thickBot="1" x14ac:dyDescent="0.25">
      <c r="B16" s="28" t="s">
        <v>22</v>
      </c>
      <c r="C16" s="52">
        <f>IF(C3="Single",N42,IF(C3="Married-Joint",H42,"Filing Status?"))</f>
        <v>12000</v>
      </c>
      <c r="D16" s="90">
        <f>'Strategy comparison'!C12</f>
        <v>0</v>
      </c>
      <c r="E16" s="4"/>
      <c r="F16" s="103"/>
      <c r="G16" s="97"/>
      <c r="H16" s="422" t="s">
        <v>26</v>
      </c>
      <c r="I16" s="423"/>
      <c r="J16" s="104" t="s">
        <v>38</v>
      </c>
      <c r="K16" s="96"/>
      <c r="L16" s="97"/>
      <c r="M16" s="97"/>
      <c r="N16" s="422" t="s">
        <v>26</v>
      </c>
      <c r="O16" s="423"/>
      <c r="P16" s="104" t="s">
        <v>38</v>
      </c>
    </row>
    <row r="17" spans="2:16" ht="16" thickBot="1" x14ac:dyDescent="0.25">
      <c r="B17" s="27" t="s">
        <v>24</v>
      </c>
      <c r="C17" s="50">
        <f>SUM(C14:C16)+H45</f>
        <v>98895.419999999984</v>
      </c>
      <c r="D17" s="3" t="s">
        <v>163</v>
      </c>
      <c r="F17" s="105"/>
      <c r="G17" s="100"/>
      <c r="H17" s="106">
        <f>SUM(I8:I14)</f>
        <v>81195.419999999984</v>
      </c>
      <c r="I17" s="106">
        <f>SUM(J8:J14)</f>
        <v>11599.88</v>
      </c>
      <c r="J17" s="107">
        <f>H17-I17</f>
        <v>69595.539999999979</v>
      </c>
      <c r="K17" s="101"/>
      <c r="L17" s="100"/>
      <c r="M17" s="100"/>
      <c r="N17" s="106">
        <f>SUM(O8:O14)</f>
        <v>108768</v>
      </c>
      <c r="O17" s="106">
        <f>SUM(P8:P14)</f>
        <v>16887.66</v>
      </c>
      <c r="P17" s="107">
        <f>N17-O17</f>
        <v>91880.34</v>
      </c>
    </row>
    <row r="18" spans="2:16" ht="16" thickBot="1" x14ac:dyDescent="0.25">
      <c r="B18" s="26" t="s">
        <v>25</v>
      </c>
      <c r="C18" s="59">
        <f>C17/SUM(C10:C11)</f>
        <v>0.24723854999999995</v>
      </c>
      <c r="D18" s="5">
        <f>SUM(D14,D16)</f>
        <v>62989.473684210527</v>
      </c>
      <c r="E18" s="16"/>
      <c r="F18" s="6"/>
    </row>
    <row r="19" spans="2:16" ht="16" thickBot="1" x14ac:dyDescent="0.25">
      <c r="B19" s="26"/>
      <c r="C19" s="55"/>
      <c r="F19" s="444" t="s">
        <v>105</v>
      </c>
      <c r="G19" s="445"/>
      <c r="H19" s="445"/>
      <c r="I19" s="445"/>
      <c r="J19" s="445"/>
      <c r="K19" s="445"/>
      <c r="L19" s="445"/>
      <c r="M19" s="445"/>
      <c r="N19" s="445"/>
      <c r="O19" s="445"/>
      <c r="P19" s="446"/>
    </row>
    <row r="20" spans="2:16" ht="16" thickBot="1" x14ac:dyDescent="0.25">
      <c r="B20" s="26" t="s">
        <v>166</v>
      </c>
      <c r="C20" s="51">
        <f>IF('Strategy comparison'!G18="",(I7+I22)*D4,'Strategy comparison'!G18)</f>
        <v>299200</v>
      </c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8"/>
    </row>
    <row r="21" spans="2:16" ht="16" thickBot="1" x14ac:dyDescent="0.25">
      <c r="B21" s="26" t="s">
        <v>167</v>
      </c>
      <c r="C21" s="51">
        <f>C13-C20</f>
        <v>100800</v>
      </c>
      <c r="F21" s="419" t="s">
        <v>17</v>
      </c>
      <c r="G21" s="420"/>
      <c r="H21" s="421"/>
      <c r="I21" s="19" t="s">
        <v>108</v>
      </c>
      <c r="J21" s="187" t="s">
        <v>160</v>
      </c>
      <c r="K21" s="97"/>
      <c r="L21" s="419" t="s">
        <v>19</v>
      </c>
      <c r="M21" s="420"/>
      <c r="N21" s="421"/>
      <c r="O21" s="19" t="s">
        <v>108</v>
      </c>
      <c r="P21" s="187" t="s">
        <v>160</v>
      </c>
    </row>
    <row r="22" spans="2:16" ht="16" thickBot="1" x14ac:dyDescent="0.25">
      <c r="B22" s="27" t="s">
        <v>41</v>
      </c>
      <c r="C22" s="52">
        <f>IF(C3="Single",O17,IF(C3="Married-Joint",I17,"Filing Status?"))</f>
        <v>11599.88</v>
      </c>
      <c r="F22" s="118"/>
      <c r="G22" s="119"/>
      <c r="H22" s="120"/>
      <c r="I22" s="73">
        <f>C12</f>
        <v>0</v>
      </c>
      <c r="J22" s="73">
        <f>I22-IF(C20&gt;I7,C20-I7,0)</f>
        <v>0</v>
      </c>
      <c r="K22" s="97"/>
      <c r="L22" s="116"/>
      <c r="M22" s="117"/>
      <c r="N22" s="82"/>
      <c r="O22" s="73">
        <f>C12</f>
        <v>0</v>
      </c>
      <c r="P22" s="73">
        <f>J22</f>
        <v>0</v>
      </c>
    </row>
    <row r="23" spans="2:16" ht="16" thickBot="1" x14ac:dyDescent="0.25">
      <c r="B23" s="27" t="s">
        <v>42</v>
      </c>
      <c r="C23" s="56">
        <f>IF(C3="Single",O42,IF(C3="Married-Joint",I42,"Filing Status?"))</f>
        <v>3024</v>
      </c>
      <c r="E23" s="4"/>
      <c r="F23" s="34">
        <f>'Tax Tables'!B18</f>
        <v>0</v>
      </c>
      <c r="G23" s="44">
        <f>'Tax Tables'!C18</f>
        <v>98900</v>
      </c>
      <c r="H23" s="10">
        <f>'Tax Tables'!D18</f>
        <v>0</v>
      </c>
      <c r="I23" s="81">
        <f t="shared" ref="I23:J25" si="4">IF(I$22&gt;$G23,($G23-$F23)*$H23,MAX((I$22-$F23),0)*$H23)</f>
        <v>0</v>
      </c>
      <c r="J23" s="81">
        <f t="shared" si="4"/>
        <v>0</v>
      </c>
      <c r="K23" s="97"/>
      <c r="L23" s="34">
        <f>'Tax Tables'!F18</f>
        <v>0</v>
      </c>
      <c r="M23" s="44">
        <f>'Tax Tables'!G18</f>
        <v>49450</v>
      </c>
      <c r="N23" s="10">
        <f>'Tax Tables'!H18</f>
        <v>0</v>
      </c>
      <c r="O23" s="81">
        <f t="shared" ref="O23:P25" si="5">IF(O$22&gt;$M23,($M23-$L23)*$N23,MAX((O$22-$L23),0)*$N23)</f>
        <v>0</v>
      </c>
      <c r="P23" s="81">
        <f t="shared" si="5"/>
        <v>0</v>
      </c>
    </row>
    <row r="24" spans="2:16" ht="16" thickBot="1" x14ac:dyDescent="0.25">
      <c r="B24" s="27" t="s">
        <v>23</v>
      </c>
      <c r="C24" s="56">
        <f>IF(C3="Single",O28,IF(C3="Married-Joint",I28,"Filing Status?"))</f>
        <v>0</v>
      </c>
      <c r="E24" s="6"/>
      <c r="F24" s="34">
        <f>'Tax Tables'!B19</f>
        <v>98901</v>
      </c>
      <c r="G24" s="44">
        <f>'Tax Tables'!C19</f>
        <v>613700</v>
      </c>
      <c r="H24" s="10">
        <f>'Tax Tables'!D19</f>
        <v>0.15</v>
      </c>
      <c r="I24" s="81">
        <f t="shared" si="4"/>
        <v>0</v>
      </c>
      <c r="J24" s="81">
        <f t="shared" si="4"/>
        <v>0</v>
      </c>
      <c r="K24" s="97"/>
      <c r="L24" s="34">
        <f>'Tax Tables'!F19</f>
        <v>49451</v>
      </c>
      <c r="M24" s="44">
        <f>'Tax Tables'!G19</f>
        <v>545500</v>
      </c>
      <c r="N24" s="10">
        <f>'Tax Tables'!H19</f>
        <v>0.15</v>
      </c>
      <c r="O24" s="81">
        <f t="shared" si="5"/>
        <v>0</v>
      </c>
      <c r="P24" s="81">
        <f t="shared" si="5"/>
        <v>0</v>
      </c>
    </row>
    <row r="25" spans="2:16" ht="16" thickBot="1" x14ac:dyDescent="0.25">
      <c r="B25" s="27" t="s">
        <v>90</v>
      </c>
      <c r="C25" s="56">
        <v>0</v>
      </c>
      <c r="D25" s="6"/>
      <c r="E25" s="6"/>
      <c r="F25" s="35">
        <f>'Tax Tables'!B20</f>
        <v>613701</v>
      </c>
      <c r="G25" s="45">
        <f>'Tax Tables'!C20</f>
        <v>99999999999</v>
      </c>
      <c r="H25" s="13">
        <f>'Tax Tables'!D20</f>
        <v>0.2</v>
      </c>
      <c r="I25" s="81">
        <f t="shared" si="4"/>
        <v>0</v>
      </c>
      <c r="J25" s="81">
        <f t="shared" si="4"/>
        <v>0</v>
      </c>
      <c r="K25" s="97"/>
      <c r="L25" s="35">
        <f>'Tax Tables'!F20</f>
        <v>545501</v>
      </c>
      <c r="M25" s="45">
        <f>'Tax Tables'!G20</f>
        <v>99999999999</v>
      </c>
      <c r="N25" s="13">
        <f>'Tax Tables'!H20</f>
        <v>0.2</v>
      </c>
      <c r="O25" s="81">
        <f t="shared" si="5"/>
        <v>0</v>
      </c>
      <c r="P25" s="81">
        <f t="shared" si="5"/>
        <v>0</v>
      </c>
    </row>
    <row r="26" spans="2:16" ht="16" thickBot="1" x14ac:dyDescent="0.25">
      <c r="B26" s="27" t="s">
        <v>43</v>
      </c>
      <c r="C26" s="50">
        <f>SUM(C22:C25)</f>
        <v>14623.88</v>
      </c>
      <c r="D26" s="6"/>
      <c r="F26" s="96"/>
      <c r="G26" s="97"/>
      <c r="H26" s="97"/>
      <c r="I26" s="97"/>
      <c r="J26" s="102"/>
      <c r="K26" s="97"/>
      <c r="L26" s="97"/>
      <c r="M26" s="97"/>
      <c r="N26" s="97"/>
      <c r="O26" s="97"/>
      <c r="P26" s="108"/>
    </row>
    <row r="27" spans="2:16" ht="16" thickBot="1" x14ac:dyDescent="0.25">
      <c r="B27" s="26" t="s">
        <v>25</v>
      </c>
      <c r="C27" s="53">
        <f>(C26+C29)/C13</f>
        <v>0.19403338421052632</v>
      </c>
      <c r="D27" s="6"/>
      <c r="E27" s="6"/>
      <c r="F27" s="96"/>
      <c r="G27" s="97"/>
      <c r="H27" s="422" t="s">
        <v>26</v>
      </c>
      <c r="I27" s="423"/>
      <c r="J27" s="109" t="s">
        <v>38</v>
      </c>
      <c r="K27" s="97"/>
      <c r="L27" s="97"/>
      <c r="M27" s="97"/>
      <c r="N27" s="422" t="s">
        <v>26</v>
      </c>
      <c r="O27" s="423"/>
      <c r="P27" s="109" t="s">
        <v>38</v>
      </c>
    </row>
    <row r="28" spans="2:16" ht="16" thickBot="1" x14ac:dyDescent="0.25">
      <c r="B28" s="27" t="s">
        <v>44</v>
      </c>
      <c r="C28" s="52">
        <f>C17-C26</f>
        <v>84271.539999999979</v>
      </c>
      <c r="D28" s="6"/>
      <c r="F28" s="101"/>
      <c r="G28" s="100"/>
      <c r="H28" s="110">
        <f>SUM(I23:I25)</f>
        <v>0</v>
      </c>
      <c r="I28" s="111">
        <f>SUM(J23:J25)</f>
        <v>0</v>
      </c>
      <c r="J28" s="112">
        <f>H28-I28</f>
        <v>0</v>
      </c>
      <c r="K28" s="101"/>
      <c r="L28" s="100"/>
      <c r="M28" s="100"/>
      <c r="N28" s="110">
        <f>SUM(O23:O25)</f>
        <v>0</v>
      </c>
      <c r="O28" s="111">
        <f>SUM(P23:P25)</f>
        <v>0</v>
      </c>
      <c r="P28" s="111">
        <f>N28-O28</f>
        <v>0</v>
      </c>
    </row>
    <row r="29" spans="2:16" ht="16" thickBot="1" x14ac:dyDescent="0.25">
      <c r="B29" s="47" t="s">
        <v>45</v>
      </c>
      <c r="C29" s="64">
        <f>D18</f>
        <v>62989.473684210527</v>
      </c>
    </row>
    <row r="30" spans="2:16" ht="16" thickBot="1" x14ac:dyDescent="0.25">
      <c r="B30" s="24" t="s">
        <v>46</v>
      </c>
      <c r="C30" s="54">
        <f>C28-C29</f>
        <v>21282.066315789452</v>
      </c>
      <c r="D30" s="4"/>
      <c r="F30" s="440" t="s">
        <v>107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2"/>
    </row>
    <row r="31" spans="2:16" ht="16" thickBot="1" x14ac:dyDescent="0.25">
      <c r="F31" s="114"/>
      <c r="G31" s="113"/>
      <c r="H31" s="113"/>
      <c r="I31" s="113"/>
      <c r="J31" s="113"/>
      <c r="K31" s="113"/>
      <c r="L31" s="113"/>
      <c r="M31" s="113"/>
      <c r="N31" s="113"/>
      <c r="O31" s="113"/>
      <c r="P31" s="115"/>
    </row>
    <row r="32" spans="2:16" ht="16" thickBot="1" x14ac:dyDescent="0.25">
      <c r="D32" s="6"/>
      <c r="F32" s="419" t="s">
        <v>17</v>
      </c>
      <c r="G32" s="420"/>
      <c r="H32" s="421"/>
      <c r="I32" s="7" t="s">
        <v>18</v>
      </c>
      <c r="J32" s="7" t="s">
        <v>159</v>
      </c>
      <c r="K32" s="97"/>
      <c r="L32" s="419" t="s">
        <v>19</v>
      </c>
      <c r="M32" s="420"/>
      <c r="N32" s="421"/>
      <c r="O32" s="7" t="s">
        <v>18</v>
      </c>
      <c r="P32" s="7" t="s">
        <v>159</v>
      </c>
    </row>
    <row r="33" spans="3:16" ht="16" thickBot="1" x14ac:dyDescent="0.25">
      <c r="D33" s="8"/>
      <c r="F33" s="9"/>
      <c r="I33" s="73">
        <f>C13</f>
        <v>400000</v>
      </c>
      <c r="J33" s="73">
        <f>I33-C20</f>
        <v>100800</v>
      </c>
      <c r="K33" s="97"/>
      <c r="L33" s="9"/>
      <c r="O33" s="121">
        <f>I33</f>
        <v>400000</v>
      </c>
      <c r="P33" s="121">
        <f>J33</f>
        <v>100800</v>
      </c>
    </row>
    <row r="34" spans="3:16" x14ac:dyDescent="0.2">
      <c r="F34" s="60">
        <f>'Tax Tables'!B25</f>
        <v>0</v>
      </c>
      <c r="G34" s="65">
        <f>'Tax Tables'!C25</f>
        <v>100000000</v>
      </c>
      <c r="H34" s="67">
        <f>'Tax Tables'!D25</f>
        <v>0.03</v>
      </c>
      <c r="I34" s="36">
        <f>IF(IF(I$33&gt;G34,(G34-F34)*H34,(I$33-F34)*H34)&gt;0,IF(I$33&gt;G34,(G34-F34)*H34,(I$33-F34)*H34),0)</f>
        <v>12000</v>
      </c>
      <c r="J34" s="38">
        <f>IF(IF(J$33&gt;G34,(G34-F34)*H34,(J$33-F34)*H34)&gt;0,IF(J$33&gt;G34,(G34-F34)*H34,(J$33-F34)*H34),0)</f>
        <v>3024</v>
      </c>
      <c r="K34" s="97"/>
      <c r="L34" s="60">
        <f>'Tax Tables'!F25</f>
        <v>0</v>
      </c>
      <c r="M34" s="65">
        <f>'Tax Tables'!G25</f>
        <v>100000000</v>
      </c>
      <c r="N34" s="66">
        <f>'Tax Tables'!H25</f>
        <v>0.03</v>
      </c>
      <c r="O34" s="36">
        <f>IF(IF(O$33&gt;M34,(M34-L34)*N34,(O$33-L34)*N34)&gt;0,IF(O$33&gt;M34,(M34-L34)*N34,(O$33-L34)*N34),0)</f>
        <v>12000</v>
      </c>
      <c r="P34" s="38">
        <f>IF(IF(P$33&gt;M34,(M34-L34)*N34,(P$33-L34)*N34)&gt;0,IF(P$33&gt;M34,(M34-L34)*N34,(P$33-L34)*N34),0)</f>
        <v>3024</v>
      </c>
    </row>
    <row r="35" spans="3:16" x14ac:dyDescent="0.2">
      <c r="F35" s="60">
        <f>'Tax Tables'!B26</f>
        <v>0</v>
      </c>
      <c r="G35" s="65">
        <f>'Tax Tables'!C26</f>
        <v>0</v>
      </c>
      <c r="H35" s="40">
        <f>'Tax Tables'!D26</f>
        <v>0</v>
      </c>
      <c r="I35" s="34">
        <f>IF(IF(I$33&gt;G35,(G35-F35)*H35,(I$33-F35)*H35)&gt;0,IF(I$33&gt;G35,(G35-F35)*H35,(I$33-F35)*H35),0)</f>
        <v>0</v>
      </c>
      <c r="J35" s="11">
        <f>IF(IF(J$33&gt;G35,(G35-F35)*H35,(J$33-F35)*H35)&gt;0,IF(J$33&gt;G35,(G35-F35)*H35,(J$33-F35)*H35),0)</f>
        <v>0</v>
      </c>
      <c r="K35" s="97"/>
      <c r="L35" s="60">
        <f>'Tax Tables'!F26</f>
        <v>0</v>
      </c>
      <c r="M35" s="65">
        <f>'Tax Tables'!G26</f>
        <v>0</v>
      </c>
      <c r="N35" s="29">
        <f>'Tax Tables'!H26</f>
        <v>0</v>
      </c>
      <c r="O35" s="34">
        <f>IF(IF(O$33&gt;M35,(M35-L35)*N35,(O$33-L35)*N35)&gt;0,IF(O$33&gt;M35,(M35-L35)*N35,(O$33-L35)*N35),0)</f>
        <v>0</v>
      </c>
      <c r="P35" s="11">
        <f>IF(IF(P$33&gt;M35,(M35-L35)*N35,(P$33-L35)*N35)&gt;0,IF(P$33&gt;M35,(M35-L35)*N35,(P$33-L35)*N35),0)</f>
        <v>0</v>
      </c>
    </row>
    <row r="36" spans="3:16" x14ac:dyDescent="0.2">
      <c r="F36" s="60">
        <f>'Tax Tables'!B27</f>
        <v>0</v>
      </c>
      <c r="G36" s="65">
        <f>'Tax Tables'!C27</f>
        <v>0</v>
      </c>
      <c r="H36" s="40">
        <f>'Tax Tables'!D27</f>
        <v>0</v>
      </c>
      <c r="I36" s="34">
        <f>IF(IF(I$33&gt;G36,(G36-F36)*H36,(I$33-F36)*H36)&gt;0,IF(I$33&gt;G36,(G36-F36)*H36,(I$33-F36)*H36),0)</f>
        <v>0</v>
      </c>
      <c r="J36" s="11">
        <f>IF(IF(J$33&gt;G36,(G36-F36)*H36,(J$33-F36)*H36)&gt;0,IF(J$33&gt;G36,(G36-F36)*H36,(J$33-F36)*H36),0)</f>
        <v>0</v>
      </c>
      <c r="K36" s="97"/>
      <c r="L36" s="60">
        <f>'Tax Tables'!F27</f>
        <v>0</v>
      </c>
      <c r="M36" s="65">
        <f>'Tax Tables'!G27</f>
        <v>0</v>
      </c>
      <c r="N36" s="29">
        <f>'Tax Tables'!H27</f>
        <v>0</v>
      </c>
      <c r="O36" s="34">
        <f>IF(IF(O$33&gt;M36,(M36-L36)*N36,(O$33-L36)*N36)&gt;0,IF(O$33&gt;M36,(M36-L36)*N36,(O$33-L36)*N36),0)</f>
        <v>0</v>
      </c>
      <c r="P36" s="11">
        <f>IF(IF(P$33&gt;M36,(M36-L36)*N36,(P$33-L36)*N36)&gt;0,IF(P$33&gt;M36,(M36-L36)*N36,(P$33-L36)*N36),0)</f>
        <v>0</v>
      </c>
    </row>
    <row r="37" spans="3:16" x14ac:dyDescent="0.2">
      <c r="F37" s="60">
        <f>'Tax Tables'!B28</f>
        <v>0</v>
      </c>
      <c r="G37" s="65">
        <f>'Tax Tables'!C28</f>
        <v>0</v>
      </c>
      <c r="H37" s="40">
        <f>'Tax Tables'!D28</f>
        <v>0</v>
      </c>
      <c r="I37" s="34">
        <f>IF(IF(I$33&gt;G37,(G37-F37)*H37,(I$33-F37)*H37)&gt;0,IF(I$33&gt;G37,(G37-F37)*H37,(I$33-F37)*H37),0)</f>
        <v>0</v>
      </c>
      <c r="J37" s="11">
        <f>IF(IF(J$33&gt;G37,(G37-F37)*H37,(J$33-F37)*H37)&gt;0,IF(J$33&gt;G37,(G37-F37)*H37,(J$33-F37)*H37),0)</f>
        <v>0</v>
      </c>
      <c r="K37" s="97"/>
      <c r="L37" s="60">
        <f>'Tax Tables'!F28</f>
        <v>0</v>
      </c>
      <c r="M37" s="65">
        <f>'Tax Tables'!G28</f>
        <v>0</v>
      </c>
      <c r="N37" s="29">
        <f>'Tax Tables'!H28</f>
        <v>0</v>
      </c>
      <c r="O37" s="34">
        <f>IF(IF(O$33&gt;M37,(M37-L37)*N37,(O$33-L37)*N37)&gt;0,IF(O$33&gt;M37,(M37-L37)*N37,(O$33-L37)*N37),0)</f>
        <v>0</v>
      </c>
      <c r="P37" s="11">
        <f>IF(IF(P$33&gt;M37,(M37-L37)*N37,(P$33-L37)*N37)&gt;0,IF(P$33&gt;M37,(M37-L37)*N37,(P$33-L37)*N37),0)</f>
        <v>0</v>
      </c>
    </row>
    <row r="38" spans="3:16" x14ac:dyDescent="0.2">
      <c r="F38" s="60">
        <f>'Tax Tables'!B29</f>
        <v>0</v>
      </c>
      <c r="G38" s="65">
        <f>'Tax Tables'!C29</f>
        <v>0</v>
      </c>
      <c r="H38" s="40">
        <f>'Tax Tables'!D29</f>
        <v>0</v>
      </c>
      <c r="I38" s="34">
        <f>IF(IF(I$33&gt;G38,(G38-F38)*H38,(I$33-F38)*H38)&gt;0,IF(I$33&gt;G38,(G38-F38)*H38,(I$33-F38)*H38),0)</f>
        <v>0</v>
      </c>
      <c r="J38" s="11">
        <f>IF(IF(J$33&gt;G38,(G38-F38)*H38,(J$33-F38)*H38)&gt;0,IF(J$33&gt;G38,(G38-F38)*H38,(J$33-F38)*H38),0)</f>
        <v>0</v>
      </c>
      <c r="K38" s="97"/>
      <c r="L38" s="60">
        <f>'Tax Tables'!F29</f>
        <v>0</v>
      </c>
      <c r="M38" s="65">
        <f>'Tax Tables'!G29</f>
        <v>0</v>
      </c>
      <c r="N38" s="29">
        <f>'Tax Tables'!H29</f>
        <v>0</v>
      </c>
      <c r="O38" s="34">
        <f>IF(IF(O$33&gt;M38,(M38-L38)*N38,(O$33-L38)*N38)&gt;0,IF(O$33&gt;M38,(M38-L38)*N38,(O$33-L38)*N38),0)</f>
        <v>0</v>
      </c>
      <c r="P38" s="11">
        <f>IF(IF(P$33&gt;M38,(M38-L38)*N38,(P$33-L38)*N38)&gt;0,IF(P$33&gt;M38,(M38-L38)*N38,(P$33-L38)*N38),0)</f>
        <v>0</v>
      </c>
    </row>
    <row r="39" spans="3:16" ht="16" thickBot="1" x14ac:dyDescent="0.25">
      <c r="D39" s="18"/>
      <c r="F39" s="91">
        <f>'Tax Tables'!B30</f>
        <v>0</v>
      </c>
      <c r="G39" s="92">
        <f>'Tax Tables'!C30</f>
        <v>0</v>
      </c>
      <c r="H39" s="93">
        <f>'Tax Tables'!D30</f>
        <v>0</v>
      </c>
      <c r="I39" s="35">
        <f>IF(I33&gt;=F39,(I33-F39)*H39,0)</f>
        <v>0</v>
      </c>
      <c r="J39" s="14">
        <f>IF(J33&gt;=F39,(J33-F39)*H39,0)</f>
        <v>0</v>
      </c>
      <c r="K39" s="97"/>
      <c r="L39" s="91">
        <f>'Tax Tables'!F30</f>
        <v>0</v>
      </c>
      <c r="M39" s="92">
        <f>'Tax Tables'!G30</f>
        <v>0</v>
      </c>
      <c r="N39" s="94">
        <f>'Tax Tables'!H30</f>
        <v>0</v>
      </c>
      <c r="O39" s="35">
        <f>IF(O33&gt;=L39,(O33-L39)*N39,0)</f>
        <v>0</v>
      </c>
      <c r="P39" s="14">
        <f>IF(P33&gt;=L39,(P33-L39)*N39,0)</f>
        <v>0</v>
      </c>
    </row>
    <row r="40" spans="3:16" ht="16" thickBot="1" x14ac:dyDescent="0.25">
      <c r="D40" s="4"/>
      <c r="E40" s="1"/>
      <c r="F40" s="96"/>
      <c r="G40" s="97"/>
      <c r="H40" s="97"/>
      <c r="I40" s="97"/>
      <c r="J40" s="97"/>
      <c r="K40" s="97"/>
      <c r="L40" s="97"/>
      <c r="M40" s="97"/>
      <c r="N40" s="97"/>
      <c r="O40" s="97"/>
      <c r="P40" s="98"/>
    </row>
    <row r="41" spans="3:16" ht="16" thickBot="1" x14ac:dyDescent="0.25">
      <c r="E41" s="23"/>
      <c r="F41" s="96"/>
      <c r="G41" s="97"/>
      <c r="H41" s="422" t="s">
        <v>26</v>
      </c>
      <c r="I41" s="423"/>
      <c r="J41" s="104" t="s">
        <v>38</v>
      </c>
      <c r="K41" s="96"/>
      <c r="L41" s="97"/>
      <c r="M41" s="97"/>
      <c r="N41" s="422" t="s">
        <v>26</v>
      </c>
      <c r="O41" s="423"/>
      <c r="P41" s="104" t="s">
        <v>38</v>
      </c>
    </row>
    <row r="42" spans="3:16" ht="16" thickBot="1" x14ac:dyDescent="0.25">
      <c r="F42" s="101"/>
      <c r="G42" s="100"/>
      <c r="H42" s="106">
        <f>SUM(I34:I39)</f>
        <v>12000</v>
      </c>
      <c r="I42" s="106">
        <f>SUM(J34:J39)</f>
        <v>3024</v>
      </c>
      <c r="J42" s="107">
        <f>H42-I42</f>
        <v>8976</v>
      </c>
      <c r="K42" s="101"/>
      <c r="L42" s="100"/>
      <c r="M42" s="100"/>
      <c r="N42" s="106">
        <f>SUM(O34:O39)</f>
        <v>12000</v>
      </c>
      <c r="O42" s="106">
        <f>SUM(P34:P39)</f>
        <v>3024</v>
      </c>
      <c r="P42" s="107">
        <f>N42-O42</f>
        <v>8976</v>
      </c>
    </row>
    <row r="43" spans="3:16" ht="16" thickBot="1" x14ac:dyDescent="0.25">
      <c r="C43" s="4"/>
    </row>
    <row r="44" spans="3:16" x14ac:dyDescent="0.2">
      <c r="C44" s="6"/>
      <c r="G44" s="181" t="s">
        <v>164</v>
      </c>
      <c r="H44" s="175">
        <f>'Tax Tables'!$C$34</f>
        <v>3.7999999999999999E-2</v>
      </c>
    </row>
    <row r="45" spans="3:16" ht="16" thickBot="1" x14ac:dyDescent="0.25">
      <c r="C45" s="8"/>
      <c r="G45" s="174">
        <f>SUM(C6:C9)+C11</f>
        <v>0</v>
      </c>
      <c r="H45" s="140">
        <f>IF(C13-IF(C3="Married-Joint",250000,200000)&gt;G45,(C13-IF(C3="Married-Joint",250000,200000))*H44, G45*H44)</f>
        <v>5700</v>
      </c>
    </row>
    <row r="52" spans="2:3" x14ac:dyDescent="0.2">
      <c r="C52" s="18"/>
    </row>
    <row r="53" spans="2:3" x14ac:dyDescent="0.2">
      <c r="B53" s="4"/>
      <c r="C53" s="4"/>
    </row>
  </sheetData>
  <mergeCells count="15">
    <mergeCell ref="H41:I41"/>
    <mergeCell ref="N41:O41"/>
    <mergeCell ref="F21:H21"/>
    <mergeCell ref="L21:N21"/>
    <mergeCell ref="H27:I27"/>
    <mergeCell ref="N27:O27"/>
    <mergeCell ref="F30:P30"/>
    <mergeCell ref="F32:H32"/>
    <mergeCell ref="L32:N32"/>
    <mergeCell ref="F19:P19"/>
    <mergeCell ref="F4:P4"/>
    <mergeCell ref="F6:H6"/>
    <mergeCell ref="L6:N6"/>
    <mergeCell ref="H16:I16"/>
    <mergeCell ref="N16:O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ADD0-99A1-1A44-9582-2372613A2349}">
  <dimension ref="B1:P53"/>
  <sheetViews>
    <sheetView zoomScale="110" zoomScaleNormal="110" workbookViewId="0">
      <selection activeCell="C6" sqref="C6"/>
    </sheetView>
  </sheetViews>
  <sheetFormatPr baseColWidth="10" defaultColWidth="8.83203125" defaultRowHeight="15" x14ac:dyDescent="0.2"/>
  <cols>
    <col min="2" max="2" width="24.5" bestFit="1" customWidth="1"/>
    <col min="3" max="3" width="15.5" bestFit="1" customWidth="1"/>
    <col min="4" max="4" width="19.5" bestFit="1" customWidth="1"/>
    <col min="5" max="5" width="14.33203125" bestFit="1" customWidth="1"/>
    <col min="6" max="6" width="12.5" bestFit="1" customWidth="1"/>
    <col min="7" max="7" width="16.6640625" customWidth="1"/>
    <col min="8" max="8" width="14.33203125" bestFit="1" customWidth="1"/>
    <col min="9" max="9" width="16.83203125" bestFit="1" customWidth="1"/>
    <col min="10" max="10" width="18.83203125" customWidth="1"/>
    <col min="11" max="11" width="14.33203125" bestFit="1" customWidth="1"/>
    <col min="12" max="12" width="12.5" bestFit="1" customWidth="1"/>
    <col min="13" max="13" width="16.83203125" customWidth="1"/>
    <col min="14" max="14" width="12.5" bestFit="1" customWidth="1"/>
    <col min="15" max="15" width="13.83203125" bestFit="1" customWidth="1"/>
    <col min="16" max="16" width="16.83203125" customWidth="1"/>
  </cols>
  <sheetData>
    <row r="1" spans="2:16" ht="16" thickBot="1" x14ac:dyDescent="0.25"/>
    <row r="2" spans="2:16" ht="16" thickBot="1" x14ac:dyDescent="0.25">
      <c r="B2" s="74"/>
      <c r="C2" s="75"/>
      <c r="D2" s="57" t="s">
        <v>29</v>
      </c>
    </row>
    <row r="3" spans="2:16" ht="16" thickBot="1" x14ac:dyDescent="0.25">
      <c r="B3" s="27" t="s">
        <v>13</v>
      </c>
      <c r="C3" s="148" t="str">
        <f>'Strategy comparison'!C4</f>
        <v>Married-Joint</v>
      </c>
      <c r="D3" s="58" t="s">
        <v>0</v>
      </c>
    </row>
    <row r="4" spans="2:16" ht="16" thickBot="1" x14ac:dyDescent="0.25">
      <c r="B4" s="27" t="s">
        <v>14</v>
      </c>
      <c r="C4" s="89">
        <f>'Strategy comparison'!C5</f>
        <v>400000</v>
      </c>
      <c r="D4" s="42">
        <v>1</v>
      </c>
      <c r="F4" s="437" t="s">
        <v>106</v>
      </c>
      <c r="G4" s="438"/>
      <c r="H4" s="438"/>
      <c r="I4" s="438"/>
      <c r="J4" s="438"/>
      <c r="K4" s="438"/>
      <c r="L4" s="438"/>
      <c r="M4" s="438"/>
      <c r="N4" s="438"/>
      <c r="O4" s="438"/>
      <c r="P4" s="439"/>
    </row>
    <row r="5" spans="2:16" ht="16" thickBot="1" x14ac:dyDescent="0.25">
      <c r="B5" s="27" t="s">
        <v>15</v>
      </c>
      <c r="C5" s="52">
        <f>'Strategy comparison'!C6-'DB comparison'!C2</f>
        <v>0</v>
      </c>
      <c r="D5" s="61"/>
      <c r="F5" s="96"/>
      <c r="G5" s="97"/>
      <c r="H5" s="97"/>
      <c r="I5" s="97"/>
      <c r="J5" s="97"/>
      <c r="K5" s="97"/>
      <c r="L5" s="97"/>
      <c r="M5" s="97"/>
      <c r="N5" s="97"/>
      <c r="O5" s="97"/>
      <c r="P5" s="98"/>
    </row>
    <row r="6" spans="2:16" ht="16" thickBot="1" x14ac:dyDescent="0.25">
      <c r="B6" s="27" t="s">
        <v>16</v>
      </c>
      <c r="C6" s="52">
        <f>'Strategy comparison'!C7</f>
        <v>0</v>
      </c>
      <c r="D6" s="62" t="s">
        <v>72</v>
      </c>
      <c r="F6" s="419" t="s">
        <v>17</v>
      </c>
      <c r="G6" s="420"/>
      <c r="H6" s="421"/>
      <c r="I6" s="7" t="s">
        <v>100</v>
      </c>
      <c r="J6" s="7" t="s">
        <v>161</v>
      </c>
      <c r="L6" s="419" t="s">
        <v>19</v>
      </c>
      <c r="M6" s="420"/>
      <c r="N6" s="421"/>
      <c r="O6" s="7" t="s">
        <v>100</v>
      </c>
      <c r="P6" s="7" t="s">
        <v>162</v>
      </c>
    </row>
    <row r="7" spans="2:16" ht="16" thickBot="1" x14ac:dyDescent="0.25">
      <c r="B7" s="27" t="s">
        <v>96</v>
      </c>
      <c r="C7" s="52">
        <f>'Strategy comparison'!$C$9</f>
        <v>0</v>
      </c>
      <c r="D7" s="63">
        <v>4.75</v>
      </c>
      <c r="F7" s="116"/>
      <c r="G7" s="117"/>
      <c r="H7" s="82"/>
      <c r="I7" s="69">
        <f>C10</f>
        <v>400000</v>
      </c>
      <c r="J7" s="69">
        <f>C10-MIN(C10,C20)</f>
        <v>0</v>
      </c>
      <c r="K7" s="97"/>
      <c r="L7" s="116"/>
      <c r="M7" s="117"/>
      <c r="N7" s="82"/>
      <c r="O7" s="233">
        <f>I7</f>
        <v>400000</v>
      </c>
      <c r="P7" s="289">
        <f>J7</f>
        <v>0</v>
      </c>
    </row>
    <row r="8" spans="2:16" x14ac:dyDescent="0.2">
      <c r="B8" s="27" t="s">
        <v>98</v>
      </c>
      <c r="C8" s="52">
        <f>'Strategy comparison'!$C$10</f>
        <v>0</v>
      </c>
      <c r="D8" s="2" t="s">
        <v>32</v>
      </c>
      <c r="F8" s="34">
        <f>'Tax Tables'!B6</f>
        <v>0</v>
      </c>
      <c r="G8" s="44">
        <f>'Tax Tables'!C6</f>
        <v>24800</v>
      </c>
      <c r="H8" s="10">
        <f>'Tax Tables'!D6</f>
        <v>0.1</v>
      </c>
      <c r="I8" s="38">
        <f t="shared" ref="I8:I13" si="0">IF(IF(I$7&gt;G8,(G8-F8)*H8,(I$7-F8)*H8)&gt;0,IF(I$7&gt;G8,(G8-F8)*H8,(I$7-F8)*H8),0)</f>
        <v>2480</v>
      </c>
      <c r="J8" s="38">
        <f t="shared" ref="J8:J13" si="1">IF(IF(J$7&gt;G8,(G8-F8)*H8,(J$7-F8)*H8)&gt;0,IF(J$7&gt;G8,(G8-F8)*H8,(J$7-F8)*H8),0)</f>
        <v>0</v>
      </c>
      <c r="K8" s="97"/>
      <c r="L8" s="34">
        <f>'Tax Tables'!F6</f>
        <v>0</v>
      </c>
      <c r="M8" s="44">
        <f>'Tax Tables'!G6</f>
        <v>12400</v>
      </c>
      <c r="N8" s="10">
        <f>'Tax Tables'!H6</f>
        <v>0.1</v>
      </c>
      <c r="O8" s="38">
        <f t="shared" ref="O8:O13" si="2">IF(IF(O$7&gt;M8,(M8-L8)*N8,(O$7-L8)*N8)&gt;0,IF(O$7&gt;M8,(M8-L8)*N8,(O$7-L8)*N8),0)</f>
        <v>1240</v>
      </c>
      <c r="P8" s="38">
        <f t="shared" ref="P8:P13" si="3">IF(IF(P$7&gt;M8,(M8-L8)*N8,(P$7-L8)*N8)&gt;0,IF(P$7&gt;M8,(M8-L8)*N8,(P$7-L8)*N8),0)</f>
        <v>0</v>
      </c>
    </row>
    <row r="9" spans="2:16" x14ac:dyDescent="0.2">
      <c r="B9" s="27" t="s">
        <v>97</v>
      </c>
      <c r="C9" s="52">
        <f>'Strategy comparison'!$C$11</f>
        <v>0</v>
      </c>
      <c r="D9" s="3" t="s">
        <v>34</v>
      </c>
      <c r="F9" s="34">
        <f>'Tax Tables'!B7</f>
        <v>24801</v>
      </c>
      <c r="G9" s="44">
        <f>'Tax Tables'!C7</f>
        <v>100800</v>
      </c>
      <c r="H9" s="10">
        <f>'Tax Tables'!D7</f>
        <v>0.12</v>
      </c>
      <c r="I9" s="11">
        <f t="shared" si="0"/>
        <v>9119.8799999999992</v>
      </c>
      <c r="J9" s="11">
        <f t="shared" si="1"/>
        <v>0</v>
      </c>
      <c r="K9" s="97"/>
      <c r="L9" s="34">
        <f>'Tax Tables'!F7</f>
        <v>12401</v>
      </c>
      <c r="M9" s="44">
        <f>'Tax Tables'!G7</f>
        <v>50400</v>
      </c>
      <c r="N9" s="10">
        <f>'Tax Tables'!H7</f>
        <v>0.12</v>
      </c>
      <c r="O9" s="11">
        <f t="shared" si="2"/>
        <v>4559.88</v>
      </c>
      <c r="P9" s="11">
        <f t="shared" si="3"/>
        <v>0</v>
      </c>
    </row>
    <row r="10" spans="2:16" ht="16" thickBot="1" x14ac:dyDescent="0.25">
      <c r="B10" s="27" t="s">
        <v>100</v>
      </c>
      <c r="C10" s="49">
        <f>SUM(C4:C7)+C9</f>
        <v>400000</v>
      </c>
      <c r="D10" s="5">
        <f>C20/D7</f>
        <v>84210.526315789481</v>
      </c>
      <c r="F10" s="34">
        <f>'Tax Tables'!B8</f>
        <v>100801</v>
      </c>
      <c r="G10" s="44">
        <f>'Tax Tables'!C8</f>
        <v>211400</v>
      </c>
      <c r="H10" s="10">
        <f>'Tax Tables'!D8</f>
        <v>0.22</v>
      </c>
      <c r="I10" s="11">
        <f t="shared" si="0"/>
        <v>24331.78</v>
      </c>
      <c r="J10" s="11">
        <f t="shared" si="1"/>
        <v>0</v>
      </c>
      <c r="K10" s="97"/>
      <c r="L10" s="34">
        <f>'Tax Tables'!F8</f>
        <v>50401</v>
      </c>
      <c r="M10" s="44">
        <f>'Tax Tables'!G8</f>
        <v>105700</v>
      </c>
      <c r="N10" s="10">
        <f>'Tax Tables'!H8</f>
        <v>0.22</v>
      </c>
      <c r="O10" s="11">
        <f t="shared" si="2"/>
        <v>12165.78</v>
      </c>
      <c r="P10" s="11">
        <f t="shared" si="3"/>
        <v>0</v>
      </c>
    </row>
    <row r="11" spans="2:16" x14ac:dyDescent="0.2">
      <c r="B11" s="27" t="s">
        <v>20</v>
      </c>
      <c r="C11" s="49">
        <f>'Strategy comparison'!C8</f>
        <v>0</v>
      </c>
      <c r="D11" s="3" t="s">
        <v>35</v>
      </c>
      <c r="F11" s="34">
        <f>'Tax Tables'!B9</f>
        <v>211401</v>
      </c>
      <c r="G11" s="44">
        <f>'Tax Tables'!C9</f>
        <v>403550</v>
      </c>
      <c r="H11" s="10">
        <f>'Tax Tables'!D9</f>
        <v>0.24</v>
      </c>
      <c r="I11" s="11">
        <f t="shared" si="0"/>
        <v>45263.759999999995</v>
      </c>
      <c r="J11" s="11">
        <f t="shared" si="1"/>
        <v>0</v>
      </c>
      <c r="K11" s="97"/>
      <c r="L11" s="34">
        <f>'Tax Tables'!F9</f>
        <v>105701</v>
      </c>
      <c r="M11" s="44">
        <f>'Tax Tables'!G9</f>
        <v>201775</v>
      </c>
      <c r="N11" s="10">
        <f>'Tax Tables'!H9</f>
        <v>0.24</v>
      </c>
      <c r="O11" s="11">
        <f t="shared" si="2"/>
        <v>23057.759999999998</v>
      </c>
      <c r="P11" s="11">
        <f t="shared" si="3"/>
        <v>0</v>
      </c>
    </row>
    <row r="12" spans="2:16" ht="16" thickBot="1" x14ac:dyDescent="0.25">
      <c r="B12" s="27" t="s">
        <v>102</v>
      </c>
      <c r="C12" s="49">
        <f>C11+C8</f>
        <v>0</v>
      </c>
      <c r="D12" s="147">
        <v>0</v>
      </c>
      <c r="F12" s="34">
        <f>'Tax Tables'!B10</f>
        <v>403551</v>
      </c>
      <c r="G12" s="44">
        <f>'Tax Tables'!C10</f>
        <v>512450</v>
      </c>
      <c r="H12" s="10">
        <f>'Tax Tables'!D10</f>
        <v>0.32</v>
      </c>
      <c r="I12" s="11">
        <f t="shared" si="0"/>
        <v>0</v>
      </c>
      <c r="J12" s="11">
        <f t="shared" si="1"/>
        <v>0</v>
      </c>
      <c r="K12" s="97"/>
      <c r="L12" s="34">
        <f>'Tax Tables'!F10</f>
        <v>201776</v>
      </c>
      <c r="M12" s="44">
        <f>'Tax Tables'!G10</f>
        <v>256225</v>
      </c>
      <c r="N12" s="10">
        <f>'Tax Tables'!H10</f>
        <v>0.32</v>
      </c>
      <c r="O12" s="11">
        <f t="shared" si="2"/>
        <v>17423.68</v>
      </c>
      <c r="P12" s="11">
        <f t="shared" si="3"/>
        <v>0</v>
      </c>
    </row>
    <row r="13" spans="2:16" x14ac:dyDescent="0.2">
      <c r="B13" s="27" t="s">
        <v>18</v>
      </c>
      <c r="C13" s="49">
        <f>C10+C12</f>
        <v>400000</v>
      </c>
      <c r="D13" s="68" t="s">
        <v>36</v>
      </c>
      <c r="F13" s="34">
        <f>'Tax Tables'!B11</f>
        <v>512451</v>
      </c>
      <c r="G13" s="44">
        <f>'Tax Tables'!C11</f>
        <v>768700</v>
      </c>
      <c r="H13" s="10">
        <f>'Tax Tables'!D11</f>
        <v>0.35</v>
      </c>
      <c r="I13" s="11">
        <f t="shared" si="0"/>
        <v>0</v>
      </c>
      <c r="J13" s="11">
        <f t="shared" si="1"/>
        <v>0</v>
      </c>
      <c r="K13" s="97"/>
      <c r="L13" s="34">
        <f>'Tax Tables'!F11</f>
        <v>256226</v>
      </c>
      <c r="M13" s="44">
        <f>'Tax Tables'!G11</f>
        <v>640600</v>
      </c>
      <c r="N13" s="10">
        <f>'Tax Tables'!H11</f>
        <v>0.35</v>
      </c>
      <c r="O13" s="11">
        <f t="shared" si="2"/>
        <v>50320.899999999994</v>
      </c>
      <c r="P13" s="11">
        <f t="shared" si="3"/>
        <v>0</v>
      </c>
    </row>
    <row r="14" spans="2:16" ht="16" thickBot="1" x14ac:dyDescent="0.25">
      <c r="B14" s="28" t="s">
        <v>21</v>
      </c>
      <c r="C14" s="49">
        <f>IF(C3="Single",N17,IF(C3="Married-Joint",H17,"Filing Status?"))</f>
        <v>81195.419999999984</v>
      </c>
      <c r="D14" s="129">
        <f>D10*(1-D12)</f>
        <v>84210.526315789481</v>
      </c>
      <c r="E14" s="6"/>
      <c r="F14" s="35">
        <f>'Tax Tables'!B12</f>
        <v>768701</v>
      </c>
      <c r="G14" s="168">
        <f>'Tax Tables'!C12</f>
        <v>99999999999</v>
      </c>
      <c r="H14" s="13">
        <f>'Tax Tables'!D12</f>
        <v>0.37</v>
      </c>
      <c r="I14" s="14">
        <f>IF(I7&gt;=F14,(I7-F14)*H14,0)</f>
        <v>0</v>
      </c>
      <c r="J14" s="14">
        <f>IF(J7&gt;=F14,(J7-F14)*H14,0)</f>
        <v>0</v>
      </c>
      <c r="L14" s="35">
        <f>'Tax Tables'!F12</f>
        <v>640601</v>
      </c>
      <c r="M14" s="168">
        <f>'Tax Tables'!G12</f>
        <v>99999999999</v>
      </c>
      <c r="N14" s="13">
        <f>'Tax Tables'!H12</f>
        <v>0.37</v>
      </c>
      <c r="O14" s="14">
        <f>IF(O7&gt;=L14,(O7-L14)*N14,0)</f>
        <v>0</v>
      </c>
      <c r="P14" s="14">
        <f>IF(P7&gt;=L14,(P7-L14)*N14,0)</f>
        <v>0</v>
      </c>
    </row>
    <row r="15" spans="2:16" ht="16" thickBot="1" x14ac:dyDescent="0.25">
      <c r="B15" s="28" t="s">
        <v>23</v>
      </c>
      <c r="C15" s="49">
        <f>IF(C3="Single",N28,IF(C3="Married-Joint",H28,"Filing Status?"))</f>
        <v>0</v>
      </c>
      <c r="D15" s="68" t="s">
        <v>7</v>
      </c>
      <c r="E15" s="23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2:16" ht="16" thickBot="1" x14ac:dyDescent="0.25">
      <c r="B16" s="28" t="s">
        <v>22</v>
      </c>
      <c r="C16" s="52">
        <f>IF(C3="Single",N42,IF(C3="Married-Joint",H42,"Filing Status?"))</f>
        <v>12000</v>
      </c>
      <c r="D16" s="90">
        <f>'Strategy comparison'!C12</f>
        <v>0</v>
      </c>
      <c r="E16" s="4"/>
      <c r="F16" s="103"/>
      <c r="G16" s="97"/>
      <c r="H16" s="422" t="s">
        <v>26</v>
      </c>
      <c r="I16" s="423"/>
      <c r="J16" s="104" t="s">
        <v>38</v>
      </c>
      <c r="K16" s="96"/>
      <c r="L16" s="97"/>
      <c r="M16" s="97"/>
      <c r="N16" s="422" t="s">
        <v>26</v>
      </c>
      <c r="O16" s="423"/>
      <c r="P16" s="104" t="s">
        <v>38</v>
      </c>
    </row>
    <row r="17" spans="2:16" ht="16" thickBot="1" x14ac:dyDescent="0.25">
      <c r="B17" s="27" t="s">
        <v>24</v>
      </c>
      <c r="C17" s="50">
        <f>SUM(C14:C16)+H45</f>
        <v>98895.419999999984</v>
      </c>
      <c r="D17" s="3" t="s">
        <v>163</v>
      </c>
      <c r="F17" s="105"/>
      <c r="G17" s="100"/>
      <c r="H17" s="106">
        <f>SUM(I8:I14)</f>
        <v>81195.419999999984</v>
      </c>
      <c r="I17" s="106">
        <f>SUM(J8:J14)</f>
        <v>0</v>
      </c>
      <c r="J17" s="107">
        <f>H17-I17</f>
        <v>81195.419999999984</v>
      </c>
      <c r="K17" s="101"/>
      <c r="L17" s="100"/>
      <c r="M17" s="100"/>
      <c r="N17" s="106">
        <f>SUM(O8:O14)</f>
        <v>108768</v>
      </c>
      <c r="O17" s="106">
        <f>SUM(P8:P14)</f>
        <v>0</v>
      </c>
      <c r="P17" s="107">
        <f>N17-O17</f>
        <v>108768</v>
      </c>
    </row>
    <row r="18" spans="2:16" ht="16" thickBot="1" x14ac:dyDescent="0.25">
      <c r="B18" s="26" t="s">
        <v>25</v>
      </c>
      <c r="C18" s="59">
        <f>C17/SUM(C10:C11)</f>
        <v>0.24723854999999995</v>
      </c>
      <c r="D18" s="5">
        <f>SUM(D14,D16)</f>
        <v>84210.526315789481</v>
      </c>
      <c r="E18" s="16"/>
      <c r="F18" s="6"/>
    </row>
    <row r="19" spans="2:16" ht="16" thickBot="1" x14ac:dyDescent="0.25">
      <c r="B19" s="26"/>
      <c r="C19" s="55"/>
      <c r="F19" s="444" t="s">
        <v>105</v>
      </c>
      <c r="G19" s="445"/>
      <c r="H19" s="445"/>
      <c r="I19" s="445"/>
      <c r="J19" s="445"/>
      <c r="K19" s="445"/>
      <c r="L19" s="445"/>
      <c r="M19" s="445"/>
      <c r="N19" s="445"/>
      <c r="O19" s="445"/>
      <c r="P19" s="446"/>
    </row>
    <row r="20" spans="2:16" ht="16" thickBot="1" x14ac:dyDescent="0.25">
      <c r="B20" s="26" t="s">
        <v>166</v>
      </c>
      <c r="C20" s="51">
        <f>IF('DB comparison'!G5="",(I7+I22)*D4,'DB comparison'!G5)</f>
        <v>400000</v>
      </c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8"/>
    </row>
    <row r="21" spans="2:16" ht="16" thickBot="1" x14ac:dyDescent="0.25">
      <c r="B21" s="26" t="s">
        <v>167</v>
      </c>
      <c r="C21" s="51">
        <f>C13-C20</f>
        <v>0</v>
      </c>
      <c r="F21" s="419" t="s">
        <v>17</v>
      </c>
      <c r="G21" s="420"/>
      <c r="H21" s="421"/>
      <c r="I21" s="19" t="s">
        <v>108</v>
      </c>
      <c r="J21" s="187" t="s">
        <v>160</v>
      </c>
      <c r="K21" s="97"/>
      <c r="L21" s="419" t="s">
        <v>19</v>
      </c>
      <c r="M21" s="420"/>
      <c r="N21" s="421"/>
      <c r="O21" s="19" t="s">
        <v>108</v>
      </c>
      <c r="P21" s="187" t="s">
        <v>160</v>
      </c>
    </row>
    <row r="22" spans="2:16" ht="16" thickBot="1" x14ac:dyDescent="0.25">
      <c r="B22" s="27" t="s">
        <v>41</v>
      </c>
      <c r="C22" s="52">
        <f>IF(C3="Single",O17,IF(C3="Married-Joint",I17,"Filing Status?"))</f>
        <v>0</v>
      </c>
      <c r="F22" s="118"/>
      <c r="G22" s="119"/>
      <c r="H22" s="120"/>
      <c r="I22" s="73">
        <f>C12</f>
        <v>0</v>
      </c>
      <c r="J22" s="73">
        <f>I22-IF(C20&gt;I7,C20-I7,0)</f>
        <v>0</v>
      </c>
      <c r="K22" s="97"/>
      <c r="L22" s="116"/>
      <c r="M22" s="117"/>
      <c r="N22" s="82"/>
      <c r="O22" s="73">
        <f>C12</f>
        <v>0</v>
      </c>
      <c r="P22" s="73">
        <f>J22</f>
        <v>0</v>
      </c>
    </row>
    <row r="23" spans="2:16" ht="16" thickBot="1" x14ac:dyDescent="0.25">
      <c r="B23" s="27" t="s">
        <v>42</v>
      </c>
      <c r="C23" s="56">
        <f>IF(C3="Single",O42,IF(C3="Married-Joint",I42,"Filing Status?"))</f>
        <v>0</v>
      </c>
      <c r="E23" s="4"/>
      <c r="F23" s="34">
        <f>'Tax Tables'!B18</f>
        <v>0</v>
      </c>
      <c r="G23" s="44">
        <f>'Tax Tables'!C18</f>
        <v>98900</v>
      </c>
      <c r="H23" s="10">
        <f>'Tax Tables'!D18</f>
        <v>0</v>
      </c>
      <c r="I23" s="81">
        <f t="shared" ref="I23:J25" si="4">IF(I$22&gt;$G23,($G23-$F23)*$H23,MAX((I$22-$F23),0)*$H23)</f>
        <v>0</v>
      </c>
      <c r="J23" s="81">
        <f t="shared" si="4"/>
        <v>0</v>
      </c>
      <c r="K23" s="97"/>
      <c r="L23" s="34">
        <f>'Tax Tables'!F18</f>
        <v>0</v>
      </c>
      <c r="M23" s="44">
        <f>'Tax Tables'!G18</f>
        <v>49450</v>
      </c>
      <c r="N23" s="10">
        <f>'Tax Tables'!H18</f>
        <v>0</v>
      </c>
      <c r="O23" s="81">
        <f t="shared" ref="O23:P25" si="5">IF(O$22&gt;$M23,($M23-$L23)*$N23,MAX((O$22-$L23),0)*$N23)</f>
        <v>0</v>
      </c>
      <c r="P23" s="81">
        <f t="shared" si="5"/>
        <v>0</v>
      </c>
    </row>
    <row r="24" spans="2:16" ht="16" thickBot="1" x14ac:dyDescent="0.25">
      <c r="B24" s="27" t="s">
        <v>23</v>
      </c>
      <c r="C24" s="56">
        <f>IF(C3="Single",O28,IF(C3="Married-Joint",I28,"Filing Status?"))</f>
        <v>0</v>
      </c>
      <c r="E24" s="6"/>
      <c r="F24" s="34">
        <f>'Tax Tables'!B19</f>
        <v>98901</v>
      </c>
      <c r="G24" s="44">
        <f>'Tax Tables'!C19</f>
        <v>613700</v>
      </c>
      <c r="H24" s="10">
        <f>'Tax Tables'!D19</f>
        <v>0.15</v>
      </c>
      <c r="I24" s="81">
        <f t="shared" si="4"/>
        <v>0</v>
      </c>
      <c r="J24" s="81">
        <f t="shared" si="4"/>
        <v>0</v>
      </c>
      <c r="K24" s="97"/>
      <c r="L24" s="34">
        <f>'Tax Tables'!F19</f>
        <v>49451</v>
      </c>
      <c r="M24" s="44">
        <f>'Tax Tables'!G19</f>
        <v>545500</v>
      </c>
      <c r="N24" s="10">
        <f>'Tax Tables'!H19</f>
        <v>0.15</v>
      </c>
      <c r="O24" s="81">
        <f t="shared" si="5"/>
        <v>0</v>
      </c>
      <c r="P24" s="81">
        <f t="shared" si="5"/>
        <v>0</v>
      </c>
    </row>
    <row r="25" spans="2:16" ht="16" thickBot="1" x14ac:dyDescent="0.25">
      <c r="B25" s="27" t="s">
        <v>90</v>
      </c>
      <c r="C25" s="56">
        <v>0</v>
      </c>
      <c r="D25" s="6"/>
      <c r="E25" s="6"/>
      <c r="F25" s="35">
        <f>'Tax Tables'!B20</f>
        <v>613701</v>
      </c>
      <c r="G25" s="45">
        <f>'Tax Tables'!C20</f>
        <v>99999999999</v>
      </c>
      <c r="H25" s="13">
        <f>'Tax Tables'!D20</f>
        <v>0.2</v>
      </c>
      <c r="I25" s="81">
        <f t="shared" si="4"/>
        <v>0</v>
      </c>
      <c r="J25" s="81">
        <f t="shared" si="4"/>
        <v>0</v>
      </c>
      <c r="K25" s="97"/>
      <c r="L25" s="35">
        <f>'Tax Tables'!F20</f>
        <v>545501</v>
      </c>
      <c r="M25" s="45">
        <f>'Tax Tables'!G20</f>
        <v>99999999999</v>
      </c>
      <c r="N25" s="13">
        <f>'Tax Tables'!H20</f>
        <v>0.2</v>
      </c>
      <c r="O25" s="81">
        <f t="shared" si="5"/>
        <v>0</v>
      </c>
      <c r="P25" s="81">
        <f t="shared" si="5"/>
        <v>0</v>
      </c>
    </row>
    <row r="26" spans="2:16" ht="16" thickBot="1" x14ac:dyDescent="0.25">
      <c r="B26" s="27" t="s">
        <v>43</v>
      </c>
      <c r="C26" s="50">
        <f>SUM(C22:C25)</f>
        <v>0</v>
      </c>
      <c r="D26" s="6"/>
      <c r="F26" s="96"/>
      <c r="G26" s="97"/>
      <c r="H26" s="97"/>
      <c r="I26" s="97"/>
      <c r="J26" s="102"/>
      <c r="K26" s="97"/>
      <c r="L26" s="97"/>
      <c r="M26" s="97"/>
      <c r="N26" s="97"/>
      <c r="O26" s="97"/>
      <c r="P26" s="108"/>
    </row>
    <row r="27" spans="2:16" ht="16" thickBot="1" x14ac:dyDescent="0.25">
      <c r="B27" s="26" t="s">
        <v>25</v>
      </c>
      <c r="C27" s="53">
        <f>(C26+C29)/C13</f>
        <v>0.2105263157894737</v>
      </c>
      <c r="D27" s="6"/>
      <c r="E27" s="6"/>
      <c r="F27" s="96"/>
      <c r="G27" s="97"/>
      <c r="H27" s="422" t="s">
        <v>26</v>
      </c>
      <c r="I27" s="423"/>
      <c r="J27" s="109" t="s">
        <v>38</v>
      </c>
      <c r="K27" s="97"/>
      <c r="L27" s="97"/>
      <c r="M27" s="97"/>
      <c r="N27" s="422" t="s">
        <v>26</v>
      </c>
      <c r="O27" s="423"/>
      <c r="P27" s="109" t="s">
        <v>38</v>
      </c>
    </row>
    <row r="28" spans="2:16" ht="16" thickBot="1" x14ac:dyDescent="0.25">
      <c r="B28" s="27" t="s">
        <v>44</v>
      </c>
      <c r="C28" s="52">
        <f>C17-C26</f>
        <v>98895.419999999984</v>
      </c>
      <c r="D28" s="6"/>
      <c r="F28" s="101"/>
      <c r="G28" s="100"/>
      <c r="H28" s="110">
        <f>SUM(I23:I25)</f>
        <v>0</v>
      </c>
      <c r="I28" s="111">
        <f>SUM(J23:J25)</f>
        <v>0</v>
      </c>
      <c r="J28" s="112">
        <f>H28-I28</f>
        <v>0</v>
      </c>
      <c r="K28" s="101"/>
      <c r="L28" s="100"/>
      <c r="M28" s="100"/>
      <c r="N28" s="110">
        <f>SUM(O23:O25)</f>
        <v>0</v>
      </c>
      <c r="O28" s="111">
        <f>SUM(P23:P25)</f>
        <v>0</v>
      </c>
      <c r="P28" s="111">
        <f>N28-O28</f>
        <v>0</v>
      </c>
    </row>
    <row r="29" spans="2:16" ht="16" thickBot="1" x14ac:dyDescent="0.25">
      <c r="B29" s="47" t="s">
        <v>45</v>
      </c>
      <c r="C29" s="64">
        <f>D18</f>
        <v>84210.526315789481</v>
      </c>
    </row>
    <row r="30" spans="2:16" ht="16" thickBot="1" x14ac:dyDescent="0.25">
      <c r="B30" s="24" t="s">
        <v>46</v>
      </c>
      <c r="C30" s="54">
        <f>C28-C29</f>
        <v>14684.893684210503</v>
      </c>
      <c r="D30" s="4"/>
      <c r="F30" s="440" t="s">
        <v>107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2"/>
    </row>
    <row r="31" spans="2:16" ht="16" thickBot="1" x14ac:dyDescent="0.25">
      <c r="F31" s="114"/>
      <c r="G31" s="113"/>
      <c r="H31" s="113"/>
      <c r="I31" s="113"/>
      <c r="J31" s="113"/>
      <c r="K31" s="113"/>
      <c r="L31" s="113"/>
      <c r="M31" s="113"/>
      <c r="N31" s="113"/>
      <c r="O31" s="113"/>
      <c r="P31" s="115"/>
    </row>
    <row r="32" spans="2:16" ht="16" thickBot="1" x14ac:dyDescent="0.25">
      <c r="D32" s="6"/>
      <c r="F32" s="419" t="s">
        <v>17</v>
      </c>
      <c r="G32" s="420"/>
      <c r="H32" s="421"/>
      <c r="I32" s="7" t="s">
        <v>18</v>
      </c>
      <c r="J32" s="7" t="s">
        <v>159</v>
      </c>
      <c r="K32" s="97"/>
      <c r="L32" s="419" t="s">
        <v>19</v>
      </c>
      <c r="M32" s="420"/>
      <c r="N32" s="421"/>
      <c r="O32" s="7" t="s">
        <v>18</v>
      </c>
      <c r="P32" s="7" t="s">
        <v>159</v>
      </c>
    </row>
    <row r="33" spans="3:16" ht="16" thickBot="1" x14ac:dyDescent="0.25">
      <c r="D33" s="8"/>
      <c r="F33" s="9"/>
      <c r="I33" s="73">
        <f>C13</f>
        <v>400000</v>
      </c>
      <c r="J33" s="73">
        <f>I33-C20</f>
        <v>0</v>
      </c>
      <c r="K33" s="97"/>
      <c r="L33" s="9"/>
      <c r="O33" s="121">
        <f>I33</f>
        <v>400000</v>
      </c>
      <c r="P33" s="121">
        <f>J33</f>
        <v>0</v>
      </c>
    </row>
    <row r="34" spans="3:16" x14ac:dyDescent="0.2">
      <c r="F34" s="60">
        <f>'Tax Tables'!B25</f>
        <v>0</v>
      </c>
      <c r="G34" s="65">
        <f>'Tax Tables'!C25</f>
        <v>100000000</v>
      </c>
      <c r="H34" s="67">
        <f>'Tax Tables'!D25</f>
        <v>0.03</v>
      </c>
      <c r="I34" s="36">
        <f>IF(IF(I$33&gt;G34,(G34-F34)*H34,(I$33-F34)*H34)&gt;0,IF(I$33&gt;G34,(G34-F34)*H34,(I$33-F34)*H34),0)</f>
        <v>12000</v>
      </c>
      <c r="J34" s="38">
        <f>IF(IF(J$33&gt;G34,(G34-F34)*H34,(J$33-F34)*H34)&gt;0,IF(J$33&gt;G34,(G34-F34)*H34,(J$33-F34)*H34),0)</f>
        <v>0</v>
      </c>
      <c r="K34" s="97"/>
      <c r="L34" s="60">
        <f>'Tax Tables'!F25</f>
        <v>0</v>
      </c>
      <c r="M34" s="65">
        <f>'Tax Tables'!G25</f>
        <v>100000000</v>
      </c>
      <c r="N34" s="66">
        <f>'Tax Tables'!H25</f>
        <v>0.03</v>
      </c>
      <c r="O34" s="36">
        <f>IF(IF(O$33&gt;M34,(M34-L34)*N34,(O$33-L34)*N34)&gt;0,IF(O$33&gt;M34,(M34-L34)*N34,(O$33-L34)*N34),0)</f>
        <v>12000</v>
      </c>
      <c r="P34" s="38">
        <f>IF(IF(P$33&gt;M34,(M34-L34)*N34,(P$33-L34)*N34)&gt;0,IF(P$33&gt;M34,(M34-L34)*N34,(P$33-L34)*N34),0)</f>
        <v>0</v>
      </c>
    </row>
    <row r="35" spans="3:16" x14ac:dyDescent="0.2">
      <c r="F35" s="60">
        <f>'Tax Tables'!B26</f>
        <v>0</v>
      </c>
      <c r="G35" s="65">
        <f>'Tax Tables'!C26</f>
        <v>0</v>
      </c>
      <c r="H35" s="40">
        <f>'Tax Tables'!D26</f>
        <v>0</v>
      </c>
      <c r="I35" s="34">
        <f>IF(IF(I$33&gt;G35,(G35-F35)*H35,(I$33-F35)*H35)&gt;0,IF(I$33&gt;G35,(G35-F35)*H35,(I$33-F35)*H35),0)</f>
        <v>0</v>
      </c>
      <c r="J35" s="11">
        <f>IF(IF(J$33&gt;G35,(G35-F35)*H35,(J$33-F35)*H35)&gt;0,IF(J$33&gt;G35,(G35-F35)*H35,(J$33-F35)*H35),0)</f>
        <v>0</v>
      </c>
      <c r="K35" s="97"/>
      <c r="L35" s="60">
        <f>'Tax Tables'!F26</f>
        <v>0</v>
      </c>
      <c r="M35" s="65">
        <f>'Tax Tables'!G26</f>
        <v>0</v>
      </c>
      <c r="N35" s="29">
        <f>'Tax Tables'!H26</f>
        <v>0</v>
      </c>
      <c r="O35" s="34">
        <f>IF(IF(O$33&gt;M35,(M35-L35)*N35,(O$33-L35)*N35)&gt;0,IF(O$33&gt;M35,(M35-L35)*N35,(O$33-L35)*N35),0)</f>
        <v>0</v>
      </c>
      <c r="P35" s="11">
        <f>IF(IF(P$33&gt;M35,(M35-L35)*N35,(P$33-L35)*N35)&gt;0,IF(P$33&gt;M35,(M35-L35)*N35,(P$33-L35)*N35),0)</f>
        <v>0</v>
      </c>
    </row>
    <row r="36" spans="3:16" x14ac:dyDescent="0.2">
      <c r="F36" s="60">
        <f>'Tax Tables'!B27</f>
        <v>0</v>
      </c>
      <c r="G36" s="65">
        <f>'Tax Tables'!C27</f>
        <v>0</v>
      </c>
      <c r="H36" s="40">
        <f>'Tax Tables'!D27</f>
        <v>0</v>
      </c>
      <c r="I36" s="34">
        <f>IF(IF(I$33&gt;G36,(G36-F36)*H36,(I$33-F36)*H36)&gt;0,IF(I$33&gt;G36,(G36-F36)*H36,(I$33-F36)*H36),0)</f>
        <v>0</v>
      </c>
      <c r="J36" s="11">
        <f>IF(IF(J$33&gt;G36,(G36-F36)*H36,(J$33-F36)*H36)&gt;0,IF(J$33&gt;G36,(G36-F36)*H36,(J$33-F36)*H36),0)</f>
        <v>0</v>
      </c>
      <c r="K36" s="97"/>
      <c r="L36" s="60">
        <f>'Tax Tables'!F27</f>
        <v>0</v>
      </c>
      <c r="M36" s="65">
        <f>'Tax Tables'!G27</f>
        <v>0</v>
      </c>
      <c r="N36" s="29">
        <f>'Tax Tables'!H27</f>
        <v>0</v>
      </c>
      <c r="O36" s="34">
        <f>IF(IF(O$33&gt;M36,(M36-L36)*N36,(O$33-L36)*N36)&gt;0,IF(O$33&gt;M36,(M36-L36)*N36,(O$33-L36)*N36),0)</f>
        <v>0</v>
      </c>
      <c r="P36" s="11">
        <f>IF(IF(P$33&gt;M36,(M36-L36)*N36,(P$33-L36)*N36)&gt;0,IF(P$33&gt;M36,(M36-L36)*N36,(P$33-L36)*N36),0)</f>
        <v>0</v>
      </c>
    </row>
    <row r="37" spans="3:16" x14ac:dyDescent="0.2">
      <c r="F37" s="60">
        <f>'Tax Tables'!B28</f>
        <v>0</v>
      </c>
      <c r="G37" s="65">
        <f>'Tax Tables'!C28</f>
        <v>0</v>
      </c>
      <c r="H37" s="40">
        <f>'Tax Tables'!D28</f>
        <v>0</v>
      </c>
      <c r="I37" s="34">
        <f>IF(IF(I$33&gt;G37,(G37-F37)*H37,(I$33-F37)*H37)&gt;0,IF(I$33&gt;G37,(G37-F37)*H37,(I$33-F37)*H37),0)</f>
        <v>0</v>
      </c>
      <c r="J37" s="11">
        <f>IF(IF(J$33&gt;G37,(G37-F37)*H37,(J$33-F37)*H37)&gt;0,IF(J$33&gt;G37,(G37-F37)*H37,(J$33-F37)*H37),0)</f>
        <v>0</v>
      </c>
      <c r="K37" s="97"/>
      <c r="L37" s="60">
        <f>'Tax Tables'!F28</f>
        <v>0</v>
      </c>
      <c r="M37" s="65">
        <f>'Tax Tables'!G28</f>
        <v>0</v>
      </c>
      <c r="N37" s="29">
        <f>'Tax Tables'!H28</f>
        <v>0</v>
      </c>
      <c r="O37" s="34">
        <f>IF(IF(O$33&gt;M37,(M37-L37)*N37,(O$33-L37)*N37)&gt;0,IF(O$33&gt;M37,(M37-L37)*N37,(O$33-L37)*N37),0)</f>
        <v>0</v>
      </c>
      <c r="P37" s="11">
        <f>IF(IF(P$33&gt;M37,(M37-L37)*N37,(P$33-L37)*N37)&gt;0,IF(P$33&gt;M37,(M37-L37)*N37,(P$33-L37)*N37),0)</f>
        <v>0</v>
      </c>
    </row>
    <row r="38" spans="3:16" x14ac:dyDescent="0.2">
      <c r="F38" s="60">
        <f>'Tax Tables'!B29</f>
        <v>0</v>
      </c>
      <c r="G38" s="65">
        <f>'Tax Tables'!C29</f>
        <v>0</v>
      </c>
      <c r="H38" s="40">
        <f>'Tax Tables'!D29</f>
        <v>0</v>
      </c>
      <c r="I38" s="34">
        <f>IF(IF(I$33&gt;G38,(G38-F38)*H38,(I$33-F38)*H38)&gt;0,IF(I$33&gt;G38,(G38-F38)*H38,(I$33-F38)*H38),0)</f>
        <v>0</v>
      </c>
      <c r="J38" s="11">
        <f>IF(IF(J$33&gt;G38,(G38-F38)*H38,(J$33-F38)*H38)&gt;0,IF(J$33&gt;G38,(G38-F38)*H38,(J$33-F38)*H38),0)</f>
        <v>0</v>
      </c>
      <c r="K38" s="97"/>
      <c r="L38" s="60">
        <f>'Tax Tables'!F29</f>
        <v>0</v>
      </c>
      <c r="M38" s="65">
        <f>'Tax Tables'!G29</f>
        <v>0</v>
      </c>
      <c r="N38" s="29">
        <f>'Tax Tables'!H29</f>
        <v>0</v>
      </c>
      <c r="O38" s="34">
        <f>IF(IF(O$33&gt;M38,(M38-L38)*N38,(O$33-L38)*N38)&gt;0,IF(O$33&gt;M38,(M38-L38)*N38,(O$33-L38)*N38),0)</f>
        <v>0</v>
      </c>
      <c r="P38" s="11">
        <f>IF(IF(P$33&gt;M38,(M38-L38)*N38,(P$33-L38)*N38)&gt;0,IF(P$33&gt;M38,(M38-L38)*N38,(P$33-L38)*N38),0)</f>
        <v>0</v>
      </c>
    </row>
    <row r="39" spans="3:16" ht="16" thickBot="1" x14ac:dyDescent="0.25">
      <c r="D39" s="18"/>
      <c r="F39" s="91">
        <f>'Tax Tables'!B30</f>
        <v>0</v>
      </c>
      <c r="G39" s="92">
        <f>'Tax Tables'!C30</f>
        <v>0</v>
      </c>
      <c r="H39" s="93">
        <f>'Tax Tables'!D30</f>
        <v>0</v>
      </c>
      <c r="I39" s="35">
        <f>IF(I33&gt;=F39,(I33-F39)*H39,0)</f>
        <v>0</v>
      </c>
      <c r="J39" s="14">
        <f>IF(J33&gt;=F39,(J33-F39)*H39,0)</f>
        <v>0</v>
      </c>
      <c r="K39" s="97"/>
      <c r="L39" s="91">
        <f>'Tax Tables'!F30</f>
        <v>0</v>
      </c>
      <c r="M39" s="92">
        <f>'Tax Tables'!G30</f>
        <v>0</v>
      </c>
      <c r="N39" s="94">
        <f>'Tax Tables'!H30</f>
        <v>0</v>
      </c>
      <c r="O39" s="35">
        <f>IF(O33&gt;=L39,(O33-L39)*N39,0)</f>
        <v>0</v>
      </c>
      <c r="P39" s="14">
        <f>IF(P33&gt;=L39,(P33-L39)*N39,0)</f>
        <v>0</v>
      </c>
    </row>
    <row r="40" spans="3:16" ht="16" thickBot="1" x14ac:dyDescent="0.25">
      <c r="D40" s="4"/>
      <c r="E40" s="1"/>
      <c r="F40" s="96"/>
      <c r="G40" s="97"/>
      <c r="H40" s="97"/>
      <c r="I40" s="97"/>
      <c r="J40" s="97"/>
      <c r="K40" s="97"/>
      <c r="L40" s="97"/>
      <c r="M40" s="97"/>
      <c r="N40" s="97"/>
      <c r="O40" s="97"/>
      <c r="P40" s="98"/>
    </row>
    <row r="41" spans="3:16" ht="16" thickBot="1" x14ac:dyDescent="0.25">
      <c r="E41" s="23"/>
      <c r="F41" s="96"/>
      <c r="G41" s="97"/>
      <c r="H41" s="422" t="s">
        <v>26</v>
      </c>
      <c r="I41" s="423"/>
      <c r="J41" s="104" t="s">
        <v>38</v>
      </c>
      <c r="K41" s="96"/>
      <c r="L41" s="97"/>
      <c r="M41" s="97"/>
      <c r="N41" s="422" t="s">
        <v>26</v>
      </c>
      <c r="O41" s="423"/>
      <c r="P41" s="104" t="s">
        <v>38</v>
      </c>
    </row>
    <row r="42" spans="3:16" ht="16" thickBot="1" x14ac:dyDescent="0.25">
      <c r="F42" s="101"/>
      <c r="G42" s="100"/>
      <c r="H42" s="106">
        <f>SUM(I34:I39)</f>
        <v>12000</v>
      </c>
      <c r="I42" s="106">
        <f>SUM(J34:J39)</f>
        <v>0</v>
      </c>
      <c r="J42" s="107">
        <f>H42-I42</f>
        <v>12000</v>
      </c>
      <c r="K42" s="101"/>
      <c r="L42" s="100"/>
      <c r="M42" s="100"/>
      <c r="N42" s="106">
        <f>SUM(O34:O39)</f>
        <v>12000</v>
      </c>
      <c r="O42" s="106">
        <f>SUM(P34:P39)</f>
        <v>0</v>
      </c>
      <c r="P42" s="107">
        <f>N42-O42</f>
        <v>12000</v>
      </c>
    </row>
    <row r="43" spans="3:16" ht="16" thickBot="1" x14ac:dyDescent="0.25">
      <c r="C43" s="4"/>
    </row>
    <row r="44" spans="3:16" x14ac:dyDescent="0.2">
      <c r="C44" s="6"/>
      <c r="G44" s="181" t="s">
        <v>164</v>
      </c>
      <c r="H44" s="175">
        <f>'Tax Tables'!$C$34</f>
        <v>3.7999999999999999E-2</v>
      </c>
    </row>
    <row r="45" spans="3:16" ht="16" thickBot="1" x14ac:dyDescent="0.25">
      <c r="C45" s="8"/>
      <c r="G45" s="174">
        <f>SUM(C6:C9)+C11</f>
        <v>0</v>
      </c>
      <c r="H45" s="140">
        <f>IF(C13-IF(C3="Married-Joint",250000,200000)&gt;G45,(C13-IF(C3="Married-Joint",250000,200000))*H44, G45*H44)</f>
        <v>5700</v>
      </c>
    </row>
    <row r="52" spans="2:3" x14ac:dyDescent="0.2">
      <c r="C52" s="18"/>
    </row>
    <row r="53" spans="2:3" x14ac:dyDescent="0.2">
      <c r="B53" s="4"/>
      <c r="C53" s="4"/>
    </row>
  </sheetData>
  <mergeCells count="15">
    <mergeCell ref="H41:I41"/>
    <mergeCell ref="N41:O41"/>
    <mergeCell ref="F21:H21"/>
    <mergeCell ref="L21:N21"/>
    <mergeCell ref="H27:I27"/>
    <mergeCell ref="N27:O27"/>
    <mergeCell ref="F30:P30"/>
    <mergeCell ref="F32:H32"/>
    <mergeCell ref="L32:N32"/>
    <mergeCell ref="F19:P19"/>
    <mergeCell ref="F4:P4"/>
    <mergeCell ref="F6:H6"/>
    <mergeCell ref="L6:N6"/>
    <mergeCell ref="H16:I16"/>
    <mergeCell ref="N16:O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978-847D-DE40-B1B3-0E750F102C89}">
  <dimension ref="B1:P53"/>
  <sheetViews>
    <sheetView zoomScale="110" zoomScaleNormal="110" workbookViewId="0">
      <selection activeCell="C21" sqref="C21"/>
    </sheetView>
  </sheetViews>
  <sheetFormatPr baseColWidth="10" defaultColWidth="8.83203125" defaultRowHeight="15" x14ac:dyDescent="0.2"/>
  <cols>
    <col min="2" max="2" width="24.5" bestFit="1" customWidth="1"/>
    <col min="3" max="3" width="15.5" bestFit="1" customWidth="1"/>
    <col min="4" max="4" width="19.5" bestFit="1" customWidth="1"/>
    <col min="5" max="5" width="14.33203125" bestFit="1" customWidth="1"/>
    <col min="6" max="6" width="12.5" bestFit="1" customWidth="1"/>
    <col min="7" max="7" width="16.6640625" customWidth="1"/>
    <col min="8" max="8" width="14.33203125" bestFit="1" customWidth="1"/>
    <col min="9" max="9" width="16.83203125" bestFit="1" customWidth="1"/>
    <col min="10" max="10" width="18.83203125" customWidth="1"/>
    <col min="11" max="11" width="14.33203125" bestFit="1" customWidth="1"/>
    <col min="12" max="12" width="12.5" bestFit="1" customWidth="1"/>
    <col min="13" max="13" width="16.83203125" customWidth="1"/>
    <col min="14" max="14" width="12.5" bestFit="1" customWidth="1"/>
    <col min="15" max="15" width="13.83203125" bestFit="1" customWidth="1"/>
    <col min="16" max="16" width="16.83203125" customWidth="1"/>
  </cols>
  <sheetData>
    <row r="1" spans="2:16" ht="16" thickBot="1" x14ac:dyDescent="0.25"/>
    <row r="2" spans="2:16" ht="16" thickBot="1" x14ac:dyDescent="0.25">
      <c r="B2" s="74"/>
      <c r="C2" s="75"/>
      <c r="D2" s="57" t="s">
        <v>29</v>
      </c>
    </row>
    <row r="3" spans="2:16" ht="16" thickBot="1" x14ac:dyDescent="0.25">
      <c r="B3" s="27" t="s">
        <v>13</v>
      </c>
      <c r="C3" s="148" t="str">
        <f>'Strategy comparison'!C4</f>
        <v>Married-Joint</v>
      </c>
      <c r="D3" s="58" t="s">
        <v>0</v>
      </c>
    </row>
    <row r="4" spans="2:16" ht="16" thickBot="1" x14ac:dyDescent="0.25">
      <c r="B4" s="27" t="s">
        <v>14</v>
      </c>
      <c r="C4" s="89">
        <f>'Strategy comparison'!C5+'Roth comparison'!C2</f>
        <v>850000</v>
      </c>
      <c r="D4" s="42">
        <v>1</v>
      </c>
      <c r="F4" s="437" t="s">
        <v>106</v>
      </c>
      <c r="G4" s="438"/>
      <c r="H4" s="438"/>
      <c r="I4" s="438"/>
      <c r="J4" s="438"/>
      <c r="K4" s="438"/>
      <c r="L4" s="438"/>
      <c r="M4" s="438"/>
      <c r="N4" s="438"/>
      <c r="O4" s="438"/>
      <c r="P4" s="439"/>
    </row>
    <row r="5" spans="2:16" ht="16" thickBot="1" x14ac:dyDescent="0.25">
      <c r="B5" s="27" t="s">
        <v>15</v>
      </c>
      <c r="C5" s="52">
        <f>'Strategy comparison'!C6</f>
        <v>0</v>
      </c>
      <c r="D5" s="61"/>
      <c r="F5" s="96"/>
      <c r="G5" s="97"/>
      <c r="H5" s="97"/>
      <c r="I5" s="97"/>
      <c r="J5" s="97"/>
      <c r="K5" s="97"/>
      <c r="L5" s="97"/>
      <c r="M5" s="97"/>
      <c r="N5" s="97"/>
      <c r="O5" s="97"/>
      <c r="P5" s="98"/>
    </row>
    <row r="6" spans="2:16" ht="16" thickBot="1" x14ac:dyDescent="0.25">
      <c r="B6" s="27" t="s">
        <v>16</v>
      </c>
      <c r="C6" s="52">
        <f>'Strategy comparison'!C7</f>
        <v>0</v>
      </c>
      <c r="D6" s="62" t="s">
        <v>72</v>
      </c>
      <c r="F6" s="419" t="s">
        <v>17</v>
      </c>
      <c r="G6" s="420"/>
      <c r="H6" s="421"/>
      <c r="I6" s="7" t="s">
        <v>100</v>
      </c>
      <c r="J6" s="7" t="s">
        <v>161</v>
      </c>
      <c r="L6" s="419" t="s">
        <v>19</v>
      </c>
      <c r="M6" s="420"/>
      <c r="N6" s="421"/>
      <c r="O6" s="7" t="s">
        <v>100</v>
      </c>
      <c r="P6" s="7" t="s">
        <v>162</v>
      </c>
    </row>
    <row r="7" spans="2:16" ht="16" thickBot="1" x14ac:dyDescent="0.25">
      <c r="B7" s="27" t="s">
        <v>96</v>
      </c>
      <c r="C7" s="52">
        <f>'Strategy comparison'!$C$9</f>
        <v>0</v>
      </c>
      <c r="D7" s="63">
        <v>4.75</v>
      </c>
      <c r="F7" s="116"/>
      <c r="G7" s="117"/>
      <c r="H7" s="82"/>
      <c r="I7" s="69">
        <f>C10</f>
        <v>850000</v>
      </c>
      <c r="J7" s="69">
        <f>C10-MIN(C10,C20)</f>
        <v>0</v>
      </c>
      <c r="K7" s="97"/>
      <c r="L7" s="116"/>
      <c r="M7" s="117"/>
      <c r="N7" s="82"/>
      <c r="O7" s="233">
        <f>I7</f>
        <v>850000</v>
      </c>
      <c r="P7" s="289">
        <f>J7</f>
        <v>0</v>
      </c>
    </row>
    <row r="8" spans="2:16" x14ac:dyDescent="0.2">
      <c r="B8" s="27" t="s">
        <v>98</v>
      </c>
      <c r="C8" s="52">
        <f>'Strategy comparison'!$C$10</f>
        <v>0</v>
      </c>
      <c r="D8" s="2" t="s">
        <v>32</v>
      </c>
      <c r="F8" s="34">
        <f>'Tax Tables'!B6</f>
        <v>0</v>
      </c>
      <c r="G8" s="44">
        <f>'Tax Tables'!C6</f>
        <v>24800</v>
      </c>
      <c r="H8" s="10">
        <f>'Tax Tables'!D6</f>
        <v>0.1</v>
      </c>
      <c r="I8" s="38">
        <f t="shared" ref="I8:I13" si="0">IF(IF(I$7&gt;G8,(G8-F8)*H8,(I$7-F8)*H8)&gt;0,IF(I$7&gt;G8,(G8-F8)*H8,(I$7-F8)*H8),0)</f>
        <v>2480</v>
      </c>
      <c r="J8" s="38">
        <f t="shared" ref="J8:J13" si="1">IF(IF(J$7&gt;G8,(G8-F8)*H8,(J$7-F8)*H8)&gt;0,IF(J$7&gt;G8,(G8-F8)*H8,(J$7-F8)*H8),0)</f>
        <v>0</v>
      </c>
      <c r="K8" s="97"/>
      <c r="L8" s="34">
        <f>'Tax Tables'!F6</f>
        <v>0</v>
      </c>
      <c r="M8" s="44">
        <f>'Tax Tables'!G6</f>
        <v>12400</v>
      </c>
      <c r="N8" s="10">
        <f>'Tax Tables'!H6</f>
        <v>0.1</v>
      </c>
      <c r="O8" s="38">
        <f t="shared" ref="O8:O13" si="2">IF(IF(O$7&gt;M8,(M8-L8)*N8,(O$7-L8)*N8)&gt;0,IF(O$7&gt;M8,(M8-L8)*N8,(O$7-L8)*N8),0)</f>
        <v>1240</v>
      </c>
      <c r="P8" s="38">
        <f t="shared" ref="P8:P13" si="3">IF(IF(P$7&gt;M8,(M8-L8)*N8,(P$7-L8)*N8)&gt;0,IF(P$7&gt;M8,(M8-L8)*N8,(P$7-L8)*N8),0)</f>
        <v>0</v>
      </c>
    </row>
    <row r="9" spans="2:16" x14ac:dyDescent="0.2">
      <c r="B9" s="27" t="s">
        <v>97</v>
      </c>
      <c r="C9" s="52">
        <f>'Strategy comparison'!$C$11</f>
        <v>0</v>
      </c>
      <c r="D9" s="3" t="s">
        <v>34</v>
      </c>
      <c r="F9" s="34">
        <f>'Tax Tables'!B7</f>
        <v>24801</v>
      </c>
      <c r="G9" s="44">
        <f>'Tax Tables'!C7</f>
        <v>100800</v>
      </c>
      <c r="H9" s="10">
        <f>'Tax Tables'!D7</f>
        <v>0.12</v>
      </c>
      <c r="I9" s="11">
        <f t="shared" si="0"/>
        <v>9119.8799999999992</v>
      </c>
      <c r="J9" s="11">
        <f t="shared" si="1"/>
        <v>0</v>
      </c>
      <c r="K9" s="97"/>
      <c r="L9" s="34">
        <f>'Tax Tables'!F7</f>
        <v>12401</v>
      </c>
      <c r="M9" s="44">
        <f>'Tax Tables'!G7</f>
        <v>50400</v>
      </c>
      <c r="N9" s="10">
        <f>'Tax Tables'!H7</f>
        <v>0.12</v>
      </c>
      <c r="O9" s="11">
        <f t="shared" si="2"/>
        <v>4559.88</v>
      </c>
      <c r="P9" s="11">
        <f t="shared" si="3"/>
        <v>0</v>
      </c>
    </row>
    <row r="10" spans="2:16" ht="16" thickBot="1" x14ac:dyDescent="0.25">
      <c r="B10" s="27" t="s">
        <v>100</v>
      </c>
      <c r="C10" s="49">
        <f>SUM(C4:C7)+C9</f>
        <v>850000</v>
      </c>
      <c r="D10" s="5">
        <f>C20/D7</f>
        <v>178947.36842105264</v>
      </c>
      <c r="F10" s="34">
        <f>'Tax Tables'!B8</f>
        <v>100801</v>
      </c>
      <c r="G10" s="44">
        <f>'Tax Tables'!C8</f>
        <v>211400</v>
      </c>
      <c r="H10" s="10">
        <f>'Tax Tables'!D8</f>
        <v>0.22</v>
      </c>
      <c r="I10" s="11">
        <f t="shared" si="0"/>
        <v>24331.78</v>
      </c>
      <c r="J10" s="11">
        <f t="shared" si="1"/>
        <v>0</v>
      </c>
      <c r="K10" s="97"/>
      <c r="L10" s="34">
        <f>'Tax Tables'!F8</f>
        <v>50401</v>
      </c>
      <c r="M10" s="44">
        <f>'Tax Tables'!G8</f>
        <v>105700</v>
      </c>
      <c r="N10" s="10">
        <f>'Tax Tables'!H8</f>
        <v>0.22</v>
      </c>
      <c r="O10" s="11">
        <f t="shared" si="2"/>
        <v>12165.78</v>
      </c>
      <c r="P10" s="11">
        <f t="shared" si="3"/>
        <v>0</v>
      </c>
    </row>
    <row r="11" spans="2:16" x14ac:dyDescent="0.2">
      <c r="B11" s="27" t="s">
        <v>20</v>
      </c>
      <c r="C11" s="49">
        <f>'Strategy comparison'!C8</f>
        <v>0</v>
      </c>
      <c r="D11" s="3" t="s">
        <v>35</v>
      </c>
      <c r="F11" s="34">
        <f>'Tax Tables'!B9</f>
        <v>211401</v>
      </c>
      <c r="G11" s="44">
        <f>'Tax Tables'!C9</f>
        <v>403550</v>
      </c>
      <c r="H11" s="10">
        <f>'Tax Tables'!D9</f>
        <v>0.24</v>
      </c>
      <c r="I11" s="11">
        <f t="shared" si="0"/>
        <v>46115.759999999995</v>
      </c>
      <c r="J11" s="11">
        <f t="shared" si="1"/>
        <v>0</v>
      </c>
      <c r="K11" s="97"/>
      <c r="L11" s="34">
        <f>'Tax Tables'!F9</f>
        <v>105701</v>
      </c>
      <c r="M11" s="44">
        <f>'Tax Tables'!G9</f>
        <v>201775</v>
      </c>
      <c r="N11" s="10">
        <f>'Tax Tables'!H9</f>
        <v>0.24</v>
      </c>
      <c r="O11" s="11">
        <f t="shared" si="2"/>
        <v>23057.759999999998</v>
      </c>
      <c r="P11" s="11">
        <f t="shared" si="3"/>
        <v>0</v>
      </c>
    </row>
    <row r="12" spans="2:16" ht="16" thickBot="1" x14ac:dyDescent="0.25">
      <c r="B12" s="27" t="s">
        <v>102</v>
      </c>
      <c r="C12" s="49">
        <f>C11+C8</f>
        <v>0</v>
      </c>
      <c r="D12" s="147">
        <v>0</v>
      </c>
      <c r="F12" s="34">
        <f>'Tax Tables'!B10</f>
        <v>403551</v>
      </c>
      <c r="G12" s="44">
        <f>'Tax Tables'!C10</f>
        <v>512450</v>
      </c>
      <c r="H12" s="10">
        <f>'Tax Tables'!D10</f>
        <v>0.32</v>
      </c>
      <c r="I12" s="11">
        <f t="shared" si="0"/>
        <v>34847.68</v>
      </c>
      <c r="J12" s="11">
        <f t="shared" si="1"/>
        <v>0</v>
      </c>
      <c r="K12" s="97"/>
      <c r="L12" s="34">
        <f>'Tax Tables'!F10</f>
        <v>201776</v>
      </c>
      <c r="M12" s="44">
        <f>'Tax Tables'!G10</f>
        <v>256225</v>
      </c>
      <c r="N12" s="10">
        <f>'Tax Tables'!H10</f>
        <v>0.32</v>
      </c>
      <c r="O12" s="11">
        <f t="shared" si="2"/>
        <v>17423.68</v>
      </c>
      <c r="P12" s="11">
        <f t="shared" si="3"/>
        <v>0</v>
      </c>
    </row>
    <row r="13" spans="2:16" x14ac:dyDescent="0.2">
      <c r="B13" s="27" t="s">
        <v>18</v>
      </c>
      <c r="C13" s="49">
        <f>C10+C12</f>
        <v>850000</v>
      </c>
      <c r="D13" s="68" t="s">
        <v>36</v>
      </c>
      <c r="F13" s="34">
        <f>'Tax Tables'!B11</f>
        <v>512451</v>
      </c>
      <c r="G13" s="44">
        <f>'Tax Tables'!C11</f>
        <v>768700</v>
      </c>
      <c r="H13" s="10">
        <f>'Tax Tables'!D11</f>
        <v>0.35</v>
      </c>
      <c r="I13" s="11">
        <f t="shared" si="0"/>
        <v>89687.15</v>
      </c>
      <c r="J13" s="11">
        <f t="shared" si="1"/>
        <v>0</v>
      </c>
      <c r="K13" s="97"/>
      <c r="L13" s="34">
        <f>'Tax Tables'!F11</f>
        <v>256226</v>
      </c>
      <c r="M13" s="44">
        <f>'Tax Tables'!G11</f>
        <v>640600</v>
      </c>
      <c r="N13" s="10">
        <f>'Tax Tables'!H11</f>
        <v>0.35</v>
      </c>
      <c r="O13" s="11">
        <f t="shared" si="2"/>
        <v>134530.9</v>
      </c>
      <c r="P13" s="11">
        <f t="shared" si="3"/>
        <v>0</v>
      </c>
    </row>
    <row r="14" spans="2:16" ht="16" thickBot="1" x14ac:dyDescent="0.25">
      <c r="B14" s="28" t="s">
        <v>21</v>
      </c>
      <c r="C14" s="49">
        <f>IF(C3="Single",N17,IF(C3="Married-Joint",H17,"Filing Status?"))</f>
        <v>236662.87999999998</v>
      </c>
      <c r="D14" s="129">
        <f>D10*(1-D12)</f>
        <v>178947.36842105264</v>
      </c>
      <c r="E14" s="6"/>
      <c r="F14" s="35">
        <f>'Tax Tables'!B12</f>
        <v>768701</v>
      </c>
      <c r="G14" s="168">
        <f>'Tax Tables'!C12</f>
        <v>99999999999</v>
      </c>
      <c r="H14" s="13">
        <f>'Tax Tables'!D12</f>
        <v>0.37</v>
      </c>
      <c r="I14" s="14">
        <f>IF(I7&gt;=F14,(I7-F14)*H14,0)</f>
        <v>30080.63</v>
      </c>
      <c r="J14" s="14">
        <f>IF(J7&gt;=F14,(J7-F14)*H14,0)</f>
        <v>0</v>
      </c>
      <c r="L14" s="35">
        <f>'Tax Tables'!F12</f>
        <v>640601</v>
      </c>
      <c r="M14" s="168">
        <f>'Tax Tables'!G12</f>
        <v>99999999999</v>
      </c>
      <c r="N14" s="13">
        <f>'Tax Tables'!H12</f>
        <v>0.37</v>
      </c>
      <c r="O14" s="14">
        <f>IF(O7&gt;=L14,(O7-L14)*N14,0)</f>
        <v>77477.63</v>
      </c>
      <c r="P14" s="14">
        <f>IF(P7&gt;=L14,(P7-L14)*N14,0)</f>
        <v>0</v>
      </c>
    </row>
    <row r="15" spans="2:16" ht="16" thickBot="1" x14ac:dyDescent="0.25">
      <c r="B15" s="28" t="s">
        <v>23</v>
      </c>
      <c r="C15" s="49">
        <f>IF(C3="Single",N28,IF(C3="Married-Joint",H28,"Filing Status?"))</f>
        <v>0</v>
      </c>
      <c r="D15" s="68" t="s">
        <v>7</v>
      </c>
      <c r="E15" s="23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2:16" ht="16" thickBot="1" x14ac:dyDescent="0.25">
      <c r="B16" s="28" t="s">
        <v>22</v>
      </c>
      <c r="C16" s="52">
        <f>IF(C3="Single",N42,IF(C3="Married-Joint",H42,"Filing Status?"))</f>
        <v>25500</v>
      </c>
      <c r="D16" s="90">
        <f>'Strategy comparison'!C12</f>
        <v>0</v>
      </c>
      <c r="E16" s="4"/>
      <c r="F16" s="103"/>
      <c r="G16" s="97"/>
      <c r="H16" s="422" t="s">
        <v>26</v>
      </c>
      <c r="I16" s="423"/>
      <c r="J16" s="104" t="s">
        <v>38</v>
      </c>
      <c r="K16" s="96"/>
      <c r="L16" s="97"/>
      <c r="M16" s="97"/>
      <c r="N16" s="422" t="s">
        <v>26</v>
      </c>
      <c r="O16" s="423"/>
      <c r="P16" s="104" t="s">
        <v>38</v>
      </c>
    </row>
    <row r="17" spans="2:16" ht="16" thickBot="1" x14ac:dyDescent="0.25">
      <c r="B17" s="27" t="s">
        <v>24</v>
      </c>
      <c r="C17" s="50">
        <f>SUM(C14:C16)+H45</f>
        <v>284962.88</v>
      </c>
      <c r="D17" s="3" t="s">
        <v>163</v>
      </c>
      <c r="F17" s="105"/>
      <c r="G17" s="100"/>
      <c r="H17" s="106">
        <f>SUM(I8:I14)</f>
        <v>236662.87999999998</v>
      </c>
      <c r="I17" s="106">
        <f>SUM(J8:J14)</f>
        <v>0</v>
      </c>
      <c r="J17" s="107">
        <f>H17-I17</f>
        <v>236662.87999999998</v>
      </c>
      <c r="K17" s="101"/>
      <c r="L17" s="100"/>
      <c r="M17" s="100"/>
      <c r="N17" s="106">
        <f>SUM(O8:O14)</f>
        <v>270455.63</v>
      </c>
      <c r="O17" s="106">
        <f>SUM(P8:P14)</f>
        <v>0</v>
      </c>
      <c r="P17" s="107">
        <f>N17-O17</f>
        <v>270455.63</v>
      </c>
    </row>
    <row r="18" spans="2:16" ht="16" thickBot="1" x14ac:dyDescent="0.25">
      <c r="B18" s="26" t="s">
        <v>25</v>
      </c>
      <c r="C18" s="59">
        <f>C17/SUM(C10:C11)</f>
        <v>0.33525044705882351</v>
      </c>
      <c r="D18" s="5">
        <f>SUM(D14,D16)</f>
        <v>178947.36842105264</v>
      </c>
      <c r="E18" s="16"/>
      <c r="F18" s="6"/>
    </row>
    <row r="19" spans="2:16" ht="16" thickBot="1" x14ac:dyDescent="0.25">
      <c r="B19" s="26"/>
      <c r="C19" s="55"/>
      <c r="F19" s="444" t="s">
        <v>105</v>
      </c>
      <c r="G19" s="445"/>
      <c r="H19" s="445"/>
      <c r="I19" s="445"/>
      <c r="J19" s="445"/>
      <c r="K19" s="445"/>
      <c r="L19" s="445"/>
      <c r="M19" s="445"/>
      <c r="N19" s="445"/>
      <c r="O19" s="445"/>
      <c r="P19" s="446"/>
    </row>
    <row r="20" spans="2:16" ht="16" thickBot="1" x14ac:dyDescent="0.25">
      <c r="B20" s="26" t="s">
        <v>166</v>
      </c>
      <c r="C20" s="51">
        <f>IF('Roth comparison'!G5="",(I7+I22)*D4,'Roth comparison'!G5)</f>
        <v>850000</v>
      </c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8"/>
    </row>
    <row r="21" spans="2:16" ht="16" thickBot="1" x14ac:dyDescent="0.25">
      <c r="B21" s="26" t="s">
        <v>167</v>
      </c>
      <c r="C21" s="51">
        <f>C13-C20</f>
        <v>0</v>
      </c>
      <c r="F21" s="419" t="s">
        <v>17</v>
      </c>
      <c r="G21" s="420"/>
      <c r="H21" s="421"/>
      <c r="I21" s="19" t="s">
        <v>108</v>
      </c>
      <c r="J21" s="187" t="s">
        <v>160</v>
      </c>
      <c r="K21" s="97"/>
      <c r="L21" s="419" t="s">
        <v>19</v>
      </c>
      <c r="M21" s="420"/>
      <c r="N21" s="421"/>
      <c r="O21" s="19" t="s">
        <v>108</v>
      </c>
      <c r="P21" s="187" t="s">
        <v>160</v>
      </c>
    </row>
    <row r="22" spans="2:16" ht="16" thickBot="1" x14ac:dyDescent="0.25">
      <c r="B22" s="27" t="s">
        <v>41</v>
      </c>
      <c r="C22" s="52">
        <f>IF(C3="Single",O17,IF(C3="Married-Joint",I17,"Filing Status?"))</f>
        <v>0</v>
      </c>
      <c r="F22" s="118"/>
      <c r="G22" s="119"/>
      <c r="H22" s="120"/>
      <c r="I22" s="73">
        <f>C12</f>
        <v>0</v>
      </c>
      <c r="J22" s="73">
        <f>I22-IF(C20&gt;I7,C20-I7,0)</f>
        <v>0</v>
      </c>
      <c r="K22" s="97"/>
      <c r="L22" s="116"/>
      <c r="M22" s="117"/>
      <c r="N22" s="82"/>
      <c r="O22" s="73">
        <f>C12</f>
        <v>0</v>
      </c>
      <c r="P22" s="73">
        <f>J22</f>
        <v>0</v>
      </c>
    </row>
    <row r="23" spans="2:16" ht="16" thickBot="1" x14ac:dyDescent="0.25">
      <c r="B23" s="27" t="s">
        <v>42</v>
      </c>
      <c r="C23" s="56">
        <f>IF(C3="Single",O42,IF(C3="Married-Joint",I42,"Filing Status?"))</f>
        <v>0</v>
      </c>
      <c r="E23" s="4"/>
      <c r="F23" s="34">
        <f>'Tax Tables'!B18</f>
        <v>0</v>
      </c>
      <c r="G23" s="44">
        <f>'Tax Tables'!C18</f>
        <v>98900</v>
      </c>
      <c r="H23" s="10">
        <f>'Tax Tables'!D18</f>
        <v>0</v>
      </c>
      <c r="I23" s="81">
        <f t="shared" ref="I23:J25" si="4">IF(I$22&gt;$G23,($G23-$F23)*$H23,MAX((I$22-$F23),0)*$H23)</f>
        <v>0</v>
      </c>
      <c r="J23" s="81">
        <f t="shared" si="4"/>
        <v>0</v>
      </c>
      <c r="K23" s="97"/>
      <c r="L23" s="34">
        <f>'Tax Tables'!F18</f>
        <v>0</v>
      </c>
      <c r="M23" s="44">
        <f>'Tax Tables'!G18</f>
        <v>49450</v>
      </c>
      <c r="N23" s="10">
        <f>'Tax Tables'!H18</f>
        <v>0</v>
      </c>
      <c r="O23" s="81">
        <f t="shared" ref="O23:P25" si="5">IF(O$22&gt;$M23,($M23-$L23)*$N23,MAX((O$22-$L23),0)*$N23)</f>
        <v>0</v>
      </c>
      <c r="P23" s="81">
        <f t="shared" si="5"/>
        <v>0</v>
      </c>
    </row>
    <row r="24" spans="2:16" ht="16" thickBot="1" x14ac:dyDescent="0.25">
      <c r="B24" s="27" t="s">
        <v>23</v>
      </c>
      <c r="C24" s="56">
        <f>IF(C3="Single",O28,IF(C3="Married-Joint",I28,"Filing Status?"))</f>
        <v>0</v>
      </c>
      <c r="E24" s="6"/>
      <c r="F24" s="34">
        <f>'Tax Tables'!B19</f>
        <v>98901</v>
      </c>
      <c r="G24" s="44">
        <f>'Tax Tables'!C19</f>
        <v>613700</v>
      </c>
      <c r="H24" s="10">
        <f>'Tax Tables'!D19</f>
        <v>0.15</v>
      </c>
      <c r="I24" s="81">
        <f t="shared" si="4"/>
        <v>0</v>
      </c>
      <c r="J24" s="81">
        <f t="shared" si="4"/>
        <v>0</v>
      </c>
      <c r="K24" s="97"/>
      <c r="L24" s="34">
        <f>'Tax Tables'!F19</f>
        <v>49451</v>
      </c>
      <c r="M24" s="44">
        <f>'Tax Tables'!G19</f>
        <v>545500</v>
      </c>
      <c r="N24" s="10">
        <f>'Tax Tables'!H19</f>
        <v>0.15</v>
      </c>
      <c r="O24" s="81">
        <f t="shared" si="5"/>
        <v>0</v>
      </c>
      <c r="P24" s="81">
        <f t="shared" si="5"/>
        <v>0</v>
      </c>
    </row>
    <row r="25" spans="2:16" ht="16" thickBot="1" x14ac:dyDescent="0.25">
      <c r="B25" s="27" t="s">
        <v>90</v>
      </c>
      <c r="C25" s="56">
        <v>0</v>
      </c>
      <c r="D25" s="6"/>
      <c r="E25" s="6"/>
      <c r="F25" s="35">
        <f>'Tax Tables'!B20</f>
        <v>613701</v>
      </c>
      <c r="G25" s="45">
        <f>'Tax Tables'!C20</f>
        <v>99999999999</v>
      </c>
      <c r="H25" s="13">
        <f>'Tax Tables'!D20</f>
        <v>0.2</v>
      </c>
      <c r="I25" s="81">
        <f t="shared" si="4"/>
        <v>0</v>
      </c>
      <c r="J25" s="81">
        <f t="shared" si="4"/>
        <v>0</v>
      </c>
      <c r="K25" s="97"/>
      <c r="L25" s="35">
        <f>'Tax Tables'!F20</f>
        <v>545501</v>
      </c>
      <c r="M25" s="45">
        <f>'Tax Tables'!G20</f>
        <v>99999999999</v>
      </c>
      <c r="N25" s="13">
        <f>'Tax Tables'!H20</f>
        <v>0.2</v>
      </c>
      <c r="O25" s="81">
        <f t="shared" si="5"/>
        <v>0</v>
      </c>
      <c r="P25" s="81">
        <f t="shared" si="5"/>
        <v>0</v>
      </c>
    </row>
    <row r="26" spans="2:16" ht="16" thickBot="1" x14ac:dyDescent="0.25">
      <c r="B26" s="27" t="s">
        <v>43</v>
      </c>
      <c r="C26" s="50">
        <f>SUM(C22:C25)</f>
        <v>0</v>
      </c>
      <c r="D26" s="6"/>
      <c r="F26" s="96"/>
      <c r="G26" s="97"/>
      <c r="H26" s="97"/>
      <c r="I26" s="97"/>
      <c r="J26" s="102"/>
      <c r="K26" s="97"/>
      <c r="L26" s="97"/>
      <c r="M26" s="97"/>
      <c r="N26" s="97"/>
      <c r="O26" s="97"/>
      <c r="P26" s="108"/>
    </row>
    <row r="27" spans="2:16" ht="16" thickBot="1" x14ac:dyDescent="0.25">
      <c r="B27" s="26" t="s">
        <v>25</v>
      </c>
      <c r="C27" s="53">
        <f>(C26+C29)/C13</f>
        <v>0.2105263157894737</v>
      </c>
      <c r="D27" s="6"/>
      <c r="E27" s="6"/>
      <c r="F27" s="96"/>
      <c r="G27" s="97"/>
      <c r="H27" s="422" t="s">
        <v>26</v>
      </c>
      <c r="I27" s="423"/>
      <c r="J27" s="109" t="s">
        <v>38</v>
      </c>
      <c r="K27" s="97"/>
      <c r="L27" s="97"/>
      <c r="M27" s="97"/>
      <c r="N27" s="422" t="s">
        <v>26</v>
      </c>
      <c r="O27" s="423"/>
      <c r="P27" s="109" t="s">
        <v>38</v>
      </c>
    </row>
    <row r="28" spans="2:16" ht="16" thickBot="1" x14ac:dyDescent="0.25">
      <c r="B28" s="27" t="s">
        <v>44</v>
      </c>
      <c r="C28" s="52">
        <f>C17-C26</f>
        <v>284962.88</v>
      </c>
      <c r="D28" s="6"/>
      <c r="F28" s="101"/>
      <c r="G28" s="100"/>
      <c r="H28" s="110">
        <f>SUM(I23:I25)</f>
        <v>0</v>
      </c>
      <c r="I28" s="111">
        <f>SUM(J23:J25)</f>
        <v>0</v>
      </c>
      <c r="J28" s="112">
        <f>H28-I28</f>
        <v>0</v>
      </c>
      <c r="K28" s="101"/>
      <c r="L28" s="100"/>
      <c r="M28" s="100"/>
      <c r="N28" s="110">
        <f>SUM(O23:O25)</f>
        <v>0</v>
      </c>
      <c r="O28" s="111">
        <f>SUM(P23:P25)</f>
        <v>0</v>
      </c>
      <c r="P28" s="111">
        <f>N28-O28</f>
        <v>0</v>
      </c>
    </row>
    <row r="29" spans="2:16" ht="16" thickBot="1" x14ac:dyDescent="0.25">
      <c r="B29" s="47" t="s">
        <v>45</v>
      </c>
      <c r="C29" s="64">
        <f>D18</f>
        <v>178947.36842105264</v>
      </c>
    </row>
    <row r="30" spans="2:16" ht="16" thickBot="1" x14ac:dyDescent="0.25">
      <c r="B30" s="24" t="s">
        <v>46</v>
      </c>
      <c r="C30" s="54">
        <f>C28-C29</f>
        <v>106015.51157894736</v>
      </c>
      <c r="D30" s="4"/>
      <c r="F30" s="440" t="s">
        <v>107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2"/>
    </row>
    <row r="31" spans="2:16" ht="16" thickBot="1" x14ac:dyDescent="0.25">
      <c r="F31" s="114"/>
      <c r="G31" s="113"/>
      <c r="H31" s="113"/>
      <c r="I31" s="113"/>
      <c r="J31" s="113"/>
      <c r="K31" s="113"/>
      <c r="L31" s="113"/>
      <c r="M31" s="113"/>
      <c r="N31" s="113"/>
      <c r="O31" s="113"/>
      <c r="P31" s="115"/>
    </row>
    <row r="32" spans="2:16" ht="16" thickBot="1" x14ac:dyDescent="0.25">
      <c r="D32" s="6"/>
      <c r="F32" s="419" t="s">
        <v>17</v>
      </c>
      <c r="G32" s="420"/>
      <c r="H32" s="421"/>
      <c r="I32" s="7" t="s">
        <v>18</v>
      </c>
      <c r="J32" s="7" t="s">
        <v>159</v>
      </c>
      <c r="K32" s="97"/>
      <c r="L32" s="419" t="s">
        <v>19</v>
      </c>
      <c r="M32" s="420"/>
      <c r="N32" s="421"/>
      <c r="O32" s="7" t="s">
        <v>18</v>
      </c>
      <c r="P32" s="7" t="s">
        <v>159</v>
      </c>
    </row>
    <row r="33" spans="3:16" ht="16" thickBot="1" x14ac:dyDescent="0.25">
      <c r="D33" s="8"/>
      <c r="F33" s="9"/>
      <c r="I33" s="73">
        <f>C13</f>
        <v>850000</v>
      </c>
      <c r="J33" s="73">
        <f>I33-C20</f>
        <v>0</v>
      </c>
      <c r="K33" s="97"/>
      <c r="L33" s="9"/>
      <c r="O33" s="121">
        <f>I33</f>
        <v>850000</v>
      </c>
      <c r="P33" s="121">
        <f>J33</f>
        <v>0</v>
      </c>
    </row>
    <row r="34" spans="3:16" x14ac:dyDescent="0.2">
      <c r="F34" s="60">
        <f>'Tax Tables'!B25</f>
        <v>0</v>
      </c>
      <c r="G34" s="65">
        <f>'Tax Tables'!C25</f>
        <v>100000000</v>
      </c>
      <c r="H34" s="67">
        <f>'Tax Tables'!D25</f>
        <v>0.03</v>
      </c>
      <c r="I34" s="36">
        <f>IF(IF(I$33&gt;G34,(G34-F34)*H34,(I$33-F34)*H34)&gt;0,IF(I$33&gt;G34,(G34-F34)*H34,(I$33-F34)*H34),0)</f>
        <v>25500</v>
      </c>
      <c r="J34" s="38">
        <f>IF(IF(J$33&gt;G34,(G34-F34)*H34,(J$33-F34)*H34)&gt;0,IF(J$33&gt;G34,(G34-F34)*H34,(J$33-F34)*H34),0)</f>
        <v>0</v>
      </c>
      <c r="K34" s="97"/>
      <c r="L34" s="60">
        <f>'Tax Tables'!F25</f>
        <v>0</v>
      </c>
      <c r="M34" s="65">
        <f>'Tax Tables'!G25</f>
        <v>100000000</v>
      </c>
      <c r="N34" s="66">
        <f>'Tax Tables'!H25</f>
        <v>0.03</v>
      </c>
      <c r="O34" s="36">
        <f>IF(IF(O$33&gt;M34,(M34-L34)*N34,(O$33-L34)*N34)&gt;0,IF(O$33&gt;M34,(M34-L34)*N34,(O$33-L34)*N34),0)</f>
        <v>25500</v>
      </c>
      <c r="P34" s="38">
        <f>IF(IF(P$33&gt;M34,(M34-L34)*N34,(P$33-L34)*N34)&gt;0,IF(P$33&gt;M34,(M34-L34)*N34,(P$33-L34)*N34),0)</f>
        <v>0</v>
      </c>
    </row>
    <row r="35" spans="3:16" x14ac:dyDescent="0.2">
      <c r="F35" s="60">
        <f>'Tax Tables'!B26</f>
        <v>0</v>
      </c>
      <c r="G35" s="65">
        <f>'Tax Tables'!C26</f>
        <v>0</v>
      </c>
      <c r="H35" s="40">
        <f>'Tax Tables'!D26</f>
        <v>0</v>
      </c>
      <c r="I35" s="34">
        <f>IF(IF(I$33&gt;G35,(G35-F35)*H35,(I$33-F35)*H35)&gt;0,IF(I$33&gt;G35,(G35-F35)*H35,(I$33-F35)*H35),0)</f>
        <v>0</v>
      </c>
      <c r="J35" s="11">
        <f>IF(IF(J$33&gt;G35,(G35-F35)*H35,(J$33-F35)*H35)&gt;0,IF(J$33&gt;G35,(G35-F35)*H35,(J$33-F35)*H35),0)</f>
        <v>0</v>
      </c>
      <c r="K35" s="97"/>
      <c r="L35" s="60">
        <f>'Tax Tables'!F26</f>
        <v>0</v>
      </c>
      <c r="M35" s="65">
        <f>'Tax Tables'!G26</f>
        <v>0</v>
      </c>
      <c r="N35" s="29">
        <f>'Tax Tables'!H26</f>
        <v>0</v>
      </c>
      <c r="O35" s="34">
        <f>IF(IF(O$33&gt;M35,(M35-L35)*N35,(O$33-L35)*N35)&gt;0,IF(O$33&gt;M35,(M35-L35)*N35,(O$33-L35)*N35),0)</f>
        <v>0</v>
      </c>
      <c r="P35" s="11">
        <f>IF(IF(P$33&gt;M35,(M35-L35)*N35,(P$33-L35)*N35)&gt;0,IF(P$33&gt;M35,(M35-L35)*N35,(P$33-L35)*N35),0)</f>
        <v>0</v>
      </c>
    </row>
    <row r="36" spans="3:16" x14ac:dyDescent="0.2">
      <c r="F36" s="60">
        <f>'Tax Tables'!B27</f>
        <v>0</v>
      </c>
      <c r="G36" s="65">
        <f>'Tax Tables'!C27</f>
        <v>0</v>
      </c>
      <c r="H36" s="40">
        <f>'Tax Tables'!D27</f>
        <v>0</v>
      </c>
      <c r="I36" s="34">
        <f>IF(IF(I$33&gt;G36,(G36-F36)*H36,(I$33-F36)*H36)&gt;0,IF(I$33&gt;G36,(G36-F36)*H36,(I$33-F36)*H36),0)</f>
        <v>0</v>
      </c>
      <c r="J36" s="11">
        <f>IF(IF(J$33&gt;G36,(G36-F36)*H36,(J$33-F36)*H36)&gt;0,IF(J$33&gt;G36,(G36-F36)*H36,(J$33-F36)*H36),0)</f>
        <v>0</v>
      </c>
      <c r="K36" s="97"/>
      <c r="L36" s="60">
        <f>'Tax Tables'!F27</f>
        <v>0</v>
      </c>
      <c r="M36" s="65">
        <f>'Tax Tables'!G27</f>
        <v>0</v>
      </c>
      <c r="N36" s="29">
        <f>'Tax Tables'!H27</f>
        <v>0</v>
      </c>
      <c r="O36" s="34">
        <f>IF(IF(O$33&gt;M36,(M36-L36)*N36,(O$33-L36)*N36)&gt;0,IF(O$33&gt;M36,(M36-L36)*N36,(O$33-L36)*N36),0)</f>
        <v>0</v>
      </c>
      <c r="P36" s="11">
        <f>IF(IF(P$33&gt;M36,(M36-L36)*N36,(P$33-L36)*N36)&gt;0,IF(P$33&gt;M36,(M36-L36)*N36,(P$33-L36)*N36),0)</f>
        <v>0</v>
      </c>
    </row>
    <row r="37" spans="3:16" x14ac:dyDescent="0.2">
      <c r="F37" s="60">
        <f>'Tax Tables'!B28</f>
        <v>0</v>
      </c>
      <c r="G37" s="65">
        <f>'Tax Tables'!C28</f>
        <v>0</v>
      </c>
      <c r="H37" s="40">
        <f>'Tax Tables'!D28</f>
        <v>0</v>
      </c>
      <c r="I37" s="34">
        <f>IF(IF(I$33&gt;G37,(G37-F37)*H37,(I$33-F37)*H37)&gt;0,IF(I$33&gt;G37,(G37-F37)*H37,(I$33-F37)*H37),0)</f>
        <v>0</v>
      </c>
      <c r="J37" s="11">
        <f>IF(IF(J$33&gt;G37,(G37-F37)*H37,(J$33-F37)*H37)&gt;0,IF(J$33&gt;G37,(G37-F37)*H37,(J$33-F37)*H37),0)</f>
        <v>0</v>
      </c>
      <c r="K37" s="97"/>
      <c r="L37" s="60">
        <f>'Tax Tables'!F28</f>
        <v>0</v>
      </c>
      <c r="M37" s="65">
        <f>'Tax Tables'!G28</f>
        <v>0</v>
      </c>
      <c r="N37" s="29">
        <f>'Tax Tables'!H28</f>
        <v>0</v>
      </c>
      <c r="O37" s="34">
        <f>IF(IF(O$33&gt;M37,(M37-L37)*N37,(O$33-L37)*N37)&gt;0,IF(O$33&gt;M37,(M37-L37)*N37,(O$33-L37)*N37),0)</f>
        <v>0</v>
      </c>
      <c r="P37" s="11">
        <f>IF(IF(P$33&gt;M37,(M37-L37)*N37,(P$33-L37)*N37)&gt;0,IF(P$33&gt;M37,(M37-L37)*N37,(P$33-L37)*N37),0)</f>
        <v>0</v>
      </c>
    </row>
    <row r="38" spans="3:16" x14ac:dyDescent="0.2">
      <c r="F38" s="60">
        <f>'Tax Tables'!B29</f>
        <v>0</v>
      </c>
      <c r="G38" s="65">
        <f>'Tax Tables'!C29</f>
        <v>0</v>
      </c>
      <c r="H38" s="40">
        <f>'Tax Tables'!D29</f>
        <v>0</v>
      </c>
      <c r="I38" s="34">
        <f>IF(IF(I$33&gt;G38,(G38-F38)*H38,(I$33-F38)*H38)&gt;0,IF(I$33&gt;G38,(G38-F38)*H38,(I$33-F38)*H38),0)</f>
        <v>0</v>
      </c>
      <c r="J38" s="11">
        <f>IF(IF(J$33&gt;G38,(G38-F38)*H38,(J$33-F38)*H38)&gt;0,IF(J$33&gt;G38,(G38-F38)*H38,(J$33-F38)*H38),0)</f>
        <v>0</v>
      </c>
      <c r="K38" s="97"/>
      <c r="L38" s="60">
        <f>'Tax Tables'!F29</f>
        <v>0</v>
      </c>
      <c r="M38" s="65">
        <f>'Tax Tables'!G29</f>
        <v>0</v>
      </c>
      <c r="N38" s="29">
        <f>'Tax Tables'!H29</f>
        <v>0</v>
      </c>
      <c r="O38" s="34">
        <f>IF(IF(O$33&gt;M38,(M38-L38)*N38,(O$33-L38)*N38)&gt;0,IF(O$33&gt;M38,(M38-L38)*N38,(O$33-L38)*N38),0)</f>
        <v>0</v>
      </c>
      <c r="P38" s="11">
        <f>IF(IF(P$33&gt;M38,(M38-L38)*N38,(P$33-L38)*N38)&gt;0,IF(P$33&gt;M38,(M38-L38)*N38,(P$33-L38)*N38),0)</f>
        <v>0</v>
      </c>
    </row>
    <row r="39" spans="3:16" ht="16" thickBot="1" x14ac:dyDescent="0.25">
      <c r="D39" s="18"/>
      <c r="F39" s="91">
        <f>'Tax Tables'!B30</f>
        <v>0</v>
      </c>
      <c r="G39" s="92">
        <f>'Tax Tables'!C30</f>
        <v>0</v>
      </c>
      <c r="H39" s="93">
        <f>'Tax Tables'!D30</f>
        <v>0</v>
      </c>
      <c r="I39" s="35">
        <f>IF(I33&gt;=F39,(I33-F39)*H39,0)</f>
        <v>0</v>
      </c>
      <c r="J39" s="14">
        <f>IF(J33&gt;=F39,(J33-F39)*H39,0)</f>
        <v>0</v>
      </c>
      <c r="K39" s="97"/>
      <c r="L39" s="91">
        <f>'Tax Tables'!F30</f>
        <v>0</v>
      </c>
      <c r="M39" s="92">
        <f>'Tax Tables'!G30</f>
        <v>0</v>
      </c>
      <c r="N39" s="94">
        <f>'Tax Tables'!H30</f>
        <v>0</v>
      </c>
      <c r="O39" s="35">
        <f>IF(O33&gt;=L39,(O33-L39)*N39,0)</f>
        <v>0</v>
      </c>
      <c r="P39" s="14">
        <f>IF(P33&gt;=L39,(P33-L39)*N39,0)</f>
        <v>0</v>
      </c>
    </row>
    <row r="40" spans="3:16" ht="16" thickBot="1" x14ac:dyDescent="0.25">
      <c r="D40" s="4"/>
      <c r="E40" s="1"/>
      <c r="F40" s="96"/>
      <c r="G40" s="97"/>
      <c r="H40" s="97"/>
      <c r="I40" s="97"/>
      <c r="J40" s="97"/>
      <c r="K40" s="97"/>
      <c r="L40" s="97"/>
      <c r="M40" s="97"/>
      <c r="N40" s="97"/>
      <c r="O40" s="97"/>
      <c r="P40" s="98"/>
    </row>
    <row r="41" spans="3:16" ht="16" thickBot="1" x14ac:dyDescent="0.25">
      <c r="E41" s="23"/>
      <c r="F41" s="96"/>
      <c r="G41" s="97"/>
      <c r="H41" s="422" t="s">
        <v>26</v>
      </c>
      <c r="I41" s="423"/>
      <c r="J41" s="104" t="s">
        <v>38</v>
      </c>
      <c r="K41" s="96"/>
      <c r="L41" s="97"/>
      <c r="M41" s="97"/>
      <c r="N41" s="422" t="s">
        <v>26</v>
      </c>
      <c r="O41" s="423"/>
      <c r="P41" s="104" t="s">
        <v>38</v>
      </c>
    </row>
    <row r="42" spans="3:16" ht="16" thickBot="1" x14ac:dyDescent="0.25">
      <c r="F42" s="101"/>
      <c r="G42" s="100"/>
      <c r="H42" s="106">
        <f>SUM(I34:I39)</f>
        <v>25500</v>
      </c>
      <c r="I42" s="106">
        <f>SUM(J34:J39)</f>
        <v>0</v>
      </c>
      <c r="J42" s="107">
        <f>H42-I42</f>
        <v>25500</v>
      </c>
      <c r="K42" s="101"/>
      <c r="L42" s="100"/>
      <c r="M42" s="100"/>
      <c r="N42" s="106">
        <f>SUM(O34:O39)</f>
        <v>25500</v>
      </c>
      <c r="O42" s="106">
        <f>SUM(P34:P39)</f>
        <v>0</v>
      </c>
      <c r="P42" s="107">
        <f>N42-O42</f>
        <v>25500</v>
      </c>
    </row>
    <row r="43" spans="3:16" ht="16" thickBot="1" x14ac:dyDescent="0.25">
      <c r="C43" s="4"/>
    </row>
    <row r="44" spans="3:16" x14ac:dyDescent="0.2">
      <c r="C44" s="6"/>
      <c r="G44" s="181" t="s">
        <v>164</v>
      </c>
      <c r="H44" s="175">
        <f>'Tax Tables'!$C$34</f>
        <v>3.7999999999999999E-2</v>
      </c>
    </row>
    <row r="45" spans="3:16" ht="16" thickBot="1" x14ac:dyDescent="0.25">
      <c r="C45" s="8"/>
      <c r="G45" s="174">
        <f>SUM(C6:C9)+C11</f>
        <v>0</v>
      </c>
      <c r="H45" s="140">
        <f>IF(C13-IF(C3="Married-Joint",250000,200000)&gt;G45,(C13-IF(C3="Married-Joint",250000,200000))*H44, G45*H44)</f>
        <v>22800</v>
      </c>
    </row>
    <row r="52" spans="2:3" x14ac:dyDescent="0.2">
      <c r="C52" s="18"/>
    </row>
    <row r="53" spans="2:3" x14ac:dyDescent="0.2">
      <c r="B53" s="4"/>
      <c r="C53" s="4"/>
    </row>
  </sheetData>
  <mergeCells count="15">
    <mergeCell ref="F19:P19"/>
    <mergeCell ref="F4:P4"/>
    <mergeCell ref="F6:H6"/>
    <mergeCell ref="L6:N6"/>
    <mergeCell ref="H16:I16"/>
    <mergeCell ref="N16:O16"/>
    <mergeCell ref="H41:I41"/>
    <mergeCell ref="N41:O41"/>
    <mergeCell ref="F21:H21"/>
    <mergeCell ref="L21:N21"/>
    <mergeCell ref="H27:I27"/>
    <mergeCell ref="N27:O27"/>
    <mergeCell ref="F30:P30"/>
    <mergeCell ref="F32:H32"/>
    <mergeCell ref="L32:N3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3FF3-A567-C943-9838-DEBB8DF1FB6B}">
  <dimension ref="B3:Q47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0" width="14" customWidth="1"/>
    <col min="11" max="11" width="14.83203125" customWidth="1"/>
    <col min="12" max="12" width="2.5" customWidth="1"/>
    <col min="13" max="13" width="14" customWidth="1"/>
    <col min="14" max="14" width="21.33203125" customWidth="1"/>
    <col min="15" max="16" width="14" customWidth="1"/>
    <col min="17" max="17" width="14.83203125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06" t="s">
        <v>81</v>
      </c>
      <c r="C4" s="408"/>
      <c r="D4" s="407" t="s">
        <v>79</v>
      </c>
      <c r="E4" s="40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83" t="s">
        <v>13</v>
      </c>
      <c r="C5" s="134" t="str">
        <f>'Strategy comparison'!C4</f>
        <v>Married-Joint</v>
      </c>
      <c r="D5" s="182" t="s">
        <v>91</v>
      </c>
      <c r="E5" s="183">
        <f>IF(C5="Married-Joint",I17+I28+I45,IF(C5="Single",O17+O28+I45,"Filing Status?"))</f>
        <v>86895.419999999984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9" t="s">
        <v>14</v>
      </c>
      <c r="C6" s="135">
        <f>'Strategy comparison'!C5</f>
        <v>400000</v>
      </c>
      <c r="D6" s="132" t="s">
        <v>67</v>
      </c>
      <c r="E6" s="138">
        <f ca="1">C18</f>
        <v>70583.134034315139</v>
      </c>
      <c r="G6" s="419" t="s">
        <v>17</v>
      </c>
      <c r="H6" s="420"/>
      <c r="I6" s="421"/>
      <c r="J6" s="131" t="s">
        <v>100</v>
      </c>
      <c r="K6" s="154" t="s">
        <v>80</v>
      </c>
      <c r="M6" s="419" t="s">
        <v>19</v>
      </c>
      <c r="N6" s="420"/>
      <c r="O6" s="421"/>
      <c r="P6" s="131" t="s">
        <v>100</v>
      </c>
      <c r="Q6" s="154" t="s">
        <v>80</v>
      </c>
    </row>
    <row r="7" spans="2:17" ht="16" thickBot="1" x14ac:dyDescent="0.25">
      <c r="B7" s="9" t="s">
        <v>15</v>
      </c>
      <c r="C7" s="135">
        <f>'Strategy comparison'!C6</f>
        <v>0</v>
      </c>
      <c r="D7" s="133" t="s">
        <v>68</v>
      </c>
      <c r="E7" s="139">
        <f ca="1">E8-E6</f>
        <v>125456.98955544915</v>
      </c>
      <c r="G7" s="116"/>
      <c r="H7" s="117"/>
      <c r="I7" s="82"/>
      <c r="J7" s="142">
        <f>C12</f>
        <v>400000</v>
      </c>
      <c r="K7" s="155" t="e">
        <f>J7-MIN(C15*#REF!,J7)</f>
        <v>#REF!</v>
      </c>
      <c r="L7" s="97"/>
      <c r="M7" s="116"/>
      <c r="N7" s="117"/>
      <c r="O7" s="82"/>
      <c r="P7" s="39">
        <f>J7</f>
        <v>400000</v>
      </c>
      <c r="Q7" s="161" t="e">
        <f>K7</f>
        <v>#REF!</v>
      </c>
    </row>
    <row r="8" spans="2:17" x14ac:dyDescent="0.2">
      <c r="B8" s="9" t="s">
        <v>16</v>
      </c>
      <c r="C8" s="135">
        <f>'Strategy comparison'!C7</f>
        <v>0</v>
      </c>
      <c r="D8" s="133" t="s">
        <v>69</v>
      </c>
      <c r="E8" s="139">
        <f ca="1">C18/C16</f>
        <v>196064.26120643094</v>
      </c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156" t="e">
        <f t="shared" ref="K8:K13" si="1">IF(IF(K$7&gt;H8,(H8-G8)*I8,(K$7-G8)*I8)&gt;0,IF(K$7&gt;H8,(H8-G8)*I8,(K$7-G8)*I8),0)</f>
        <v>#REF!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156" t="e">
        <f t="shared" ref="Q8:Q13" si="3">IF(IF(Q$7&gt;N8,(N8-M8)*O8,(Q$7-M8)*O8)&gt;0,IF(Q$7&gt;N8,(N8-M8)*O8,(Q$7-M8)*O8),0)</f>
        <v>#REF!</v>
      </c>
    </row>
    <row r="9" spans="2:17" x14ac:dyDescent="0.2">
      <c r="B9" s="9" t="s">
        <v>96</v>
      </c>
      <c r="C9" s="135">
        <f>'Strategy comparison'!$C$9</f>
        <v>0</v>
      </c>
      <c r="D9" s="133" t="s">
        <v>70</v>
      </c>
      <c r="E9" s="139">
        <f ca="1">E8*C17</f>
        <v>78425.704482572371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57" t="e">
        <f t="shared" si="1"/>
        <v>#REF!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57" t="e">
        <f t="shared" si="3"/>
        <v>#REF!</v>
      </c>
    </row>
    <row r="10" spans="2:17" x14ac:dyDescent="0.2">
      <c r="B10" s="9" t="s">
        <v>98</v>
      </c>
      <c r="C10" s="135">
        <f>'Strategy comparison'!$C$10</f>
        <v>0</v>
      </c>
      <c r="D10" s="9" t="s">
        <v>76</v>
      </c>
      <c r="E10" s="135">
        <f ca="1">E16</f>
        <v>7522.1477178469358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57" t="e">
        <f t="shared" si="1"/>
        <v>#REF!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57" t="e">
        <f t="shared" si="3"/>
        <v>#REF!</v>
      </c>
    </row>
    <row r="11" spans="2:17" x14ac:dyDescent="0.2">
      <c r="B11" s="9" t="s">
        <v>97</v>
      </c>
      <c r="C11" s="135">
        <f>'Strategy comparison'!$C$11</f>
        <v>0</v>
      </c>
      <c r="D11" s="77" t="s">
        <v>85</v>
      </c>
      <c r="E11" s="184">
        <f ca="1">SUM(E9:E10)+K42</f>
        <v>86888.120665150171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57" t="e">
        <f t="shared" si="1"/>
        <v>#REF!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57" t="e">
        <f t="shared" si="3"/>
        <v>#REF!</v>
      </c>
    </row>
    <row r="12" spans="2:17" x14ac:dyDescent="0.2">
      <c r="B12" s="9" t="s">
        <v>100</v>
      </c>
      <c r="C12" s="135">
        <f>SUM(C6:C9)+C11</f>
        <v>400000</v>
      </c>
      <c r="D12" s="150" t="s">
        <v>87</v>
      </c>
      <c r="E12" s="151">
        <f ca="1">E11-C18-'Strategy comparison'!C12</f>
        <v>16304.986630835032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57" t="e">
        <f t="shared" si="1"/>
        <v>#REF!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57" t="e">
        <f t="shared" si="3"/>
        <v>#REF!</v>
      </c>
    </row>
    <row r="13" spans="2:17" x14ac:dyDescent="0.2">
      <c r="B13" s="9" t="s">
        <v>99</v>
      </c>
      <c r="C13" s="135">
        <f>'Strategy comparison'!C8</f>
        <v>0</v>
      </c>
      <c r="D13" s="9" t="s">
        <v>71</v>
      </c>
      <c r="E13" s="135">
        <f ca="1">E8-(E9/2)</f>
        <v>156851.40896514474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57" t="e">
        <f t="shared" si="1"/>
        <v>#REF!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57" t="e">
        <f t="shared" si="3"/>
        <v>#REF!</v>
      </c>
    </row>
    <row r="14" spans="2:17" ht="16" thickBot="1" x14ac:dyDescent="0.25">
      <c r="B14" s="9" t="s">
        <v>101</v>
      </c>
      <c r="C14" s="135">
        <f>C13+C10</f>
        <v>0</v>
      </c>
      <c r="D14" s="9" t="s">
        <v>68</v>
      </c>
      <c r="E14" s="135">
        <f ca="1">E7</f>
        <v>125456.98955544915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58" t="e">
        <f>IF(K7&gt;=G14,(K7-G14)*I14,0)</f>
        <v>#REF!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58" t="e">
        <f>IF(Q7&gt;=M14,(Q7-M14)*O14,0)</f>
        <v>#REF!</v>
      </c>
    </row>
    <row r="15" spans="2:17" ht="16" thickBot="1" x14ac:dyDescent="0.25">
      <c r="B15" s="9" t="s">
        <v>18</v>
      </c>
      <c r="C15" s="135">
        <f>C12+C14</f>
        <v>400000</v>
      </c>
      <c r="D15" s="9" t="s">
        <v>75</v>
      </c>
      <c r="E15" s="135">
        <f ca="1">E13-E14</f>
        <v>31394.419409695591</v>
      </c>
      <c r="G15" s="96"/>
      <c r="H15" s="97"/>
      <c r="I15" s="97"/>
      <c r="J15" s="97"/>
      <c r="K15" s="164"/>
      <c r="L15" s="97"/>
      <c r="M15" s="97"/>
      <c r="N15" s="97"/>
      <c r="O15" s="97"/>
      <c r="P15" s="97"/>
      <c r="Q15" s="166"/>
    </row>
    <row r="16" spans="2:17" ht="16" thickBot="1" x14ac:dyDescent="0.25">
      <c r="B16" s="9" t="s">
        <v>73</v>
      </c>
      <c r="C16" s="136">
        <v>0.36</v>
      </c>
      <c r="D16" s="15" t="s">
        <v>76</v>
      </c>
      <c r="E16" s="140">
        <f ca="1">IF($C$5="Married-Joint",
    I17-((MAX(0,MIN(J7-E15,H8)-G8)*I8)
        +(MAX(0,MIN(J7-E15,H9)-G9)*I9)
        +(MAX(0,MIN(J7-E15,H10)-G10)*I10)
        +(MAX(0,MIN(J7-E15,H11)-G11)*I11)
        +(MAX(0,MIN(J7-E15,H12)-G12)*I12)
        +(MAX(0,MIN(J7-E15,H13)-G13)*I13)
        +(MAX(0,MIN(J7-E15,H14)-G14)*I14)),
    O17-((MAX(0,MIN(P7-E15,N8)-M8)*O8)
        +(MAX(0,MIN(P7-E15,N9)-M9)*O9)
        +(MAX(0,MIN(P7-E15,N10)-M10)*O10)
        +(MAX(0,MIN(P7-E15,N11)-M11)*O11)
        +(MAX(0,MIN(P7-E15,N12)-M12)*O12)
        +(MAX(0,MIN(P7-E15,N13)-M13)*O13)
        +(MAX(0,MIN(P7-E15,N14)-M14)*O14))
)</f>
        <v>7534.6606583269313</v>
      </c>
      <c r="G16" s="103"/>
      <c r="H16" s="97"/>
      <c r="I16" s="422" t="s">
        <v>26</v>
      </c>
      <c r="J16" s="423"/>
      <c r="K16" s="154" t="s">
        <v>38</v>
      </c>
      <c r="L16" s="96"/>
      <c r="M16" s="97"/>
      <c r="N16" s="97"/>
      <c r="O16" s="422" t="s">
        <v>26</v>
      </c>
      <c r="P16" s="423"/>
      <c r="Q16" s="154" t="s">
        <v>38</v>
      </c>
    </row>
    <row r="17" spans="2:17" ht="16" thickBot="1" x14ac:dyDescent="0.25">
      <c r="B17" s="9" t="s">
        <v>74</v>
      </c>
      <c r="C17" s="136">
        <v>0.4</v>
      </c>
      <c r="G17" s="105"/>
      <c r="H17" s="100"/>
      <c r="I17" s="106">
        <f>SUM(J8:J14)</f>
        <v>81195.419999999984</v>
      </c>
      <c r="J17" s="159" t="e">
        <f>SUM(K8:K14)</f>
        <v>#REF!</v>
      </c>
      <c r="K17" s="160" t="e">
        <f>I17-J17</f>
        <v>#REF!</v>
      </c>
      <c r="L17" s="101"/>
      <c r="M17" s="100"/>
      <c r="N17" s="100"/>
      <c r="O17" s="106">
        <f>SUM(P8:P14)</f>
        <v>108768</v>
      </c>
      <c r="P17" s="159" t="e">
        <f>SUM(Q8:Q14)</f>
        <v>#REF!</v>
      </c>
      <c r="Q17" s="160" t="e">
        <f>O17-P17</f>
        <v>#REF!</v>
      </c>
    </row>
    <row r="18" spans="2:17" ht="16" thickBot="1" x14ac:dyDescent="0.25">
      <c r="B18" s="227" t="s">
        <v>77</v>
      </c>
      <c r="C18" s="228">
        <f ca="1">IF('Strategy comparison'!H18="",IF(E11&gt;E5,IF(ABS(E5-E11)&gt;10000,C18-(0.01*E5),C18-(0.0001*E5)),IF(ABS(E5-E11)&gt;10000,C18+(0.01*E5),C18+(0.0001*E5))),'Strategy comparison'!H18)</f>
        <v>70591.823576315132</v>
      </c>
      <c r="G18" s="6"/>
    </row>
    <row r="19" spans="2:17" ht="16" thickBot="1" x14ac:dyDescent="0.25">
      <c r="B19"/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182" t="s">
        <v>156</v>
      </c>
      <c r="C20" s="286">
        <f ca="1">IF(ABS(SUM('Strategy comparison'!F4:F5)-MAX(MIN(Solar!E11,SUM('Strategy comparison'!F4:F5)),0))&gt;1000, SUM('Strategy comparison'!F4:F5)-MAX(MIN(Solar!E11,SUM('Strategy comparison'!F4:F5)),0),0)</f>
        <v>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146"/>
      <c r="G21" s="419" t="s">
        <v>17</v>
      </c>
      <c r="H21" s="420"/>
      <c r="I21" s="421"/>
      <c r="J21" s="131" t="s">
        <v>108</v>
      </c>
      <c r="K21" s="154" t="s">
        <v>31</v>
      </c>
      <c r="L21" s="97"/>
      <c r="M21" s="419" t="s">
        <v>19</v>
      </c>
      <c r="N21" s="420"/>
      <c r="O21" s="421"/>
      <c r="P21" s="109" t="s">
        <v>108</v>
      </c>
      <c r="Q21" s="154" t="s">
        <v>31</v>
      </c>
    </row>
    <row r="22" spans="2:17" ht="16" thickBot="1" x14ac:dyDescent="0.25">
      <c r="B22"/>
      <c r="G22" s="118"/>
      <c r="H22" s="119"/>
      <c r="I22" s="120"/>
      <c r="J22" s="144">
        <f>C14</f>
        <v>0</v>
      </c>
      <c r="K22" s="162" t="e">
        <f>J22-IF((#REF!*#REF!)&gt;J7, (#REF!*#REF!)-J7,0)</f>
        <v>#REF!</v>
      </c>
      <c r="L22" s="97"/>
      <c r="M22" s="116"/>
      <c r="N22" s="117"/>
      <c r="O22" s="82"/>
      <c r="P22" s="144">
        <f>C13</f>
        <v>0</v>
      </c>
      <c r="Q22" s="162" t="e">
        <f>P22-IF((#REF!*#REF!)&gt;P7, (#REF!*#REF!)-P7,0)</f>
        <v>#REF!</v>
      </c>
    </row>
    <row r="23" spans="2:17" ht="16" thickBot="1" x14ac:dyDescent="0.25">
      <c r="B23"/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163" t="e">
        <f t="shared" si="4"/>
        <v>#REF!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163" t="e">
        <f t="shared" si="5"/>
        <v>#REF!</v>
      </c>
    </row>
    <row r="24" spans="2:17" ht="16" thickBot="1" x14ac:dyDescent="0.25">
      <c r="B24"/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163" t="e">
        <f t="shared" si="4"/>
        <v>#REF!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163" t="e">
        <f t="shared" si="5"/>
        <v>#REF!</v>
      </c>
    </row>
    <row r="25" spans="2:17" ht="16" thickBot="1" x14ac:dyDescent="0.25">
      <c r="B25"/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163" t="e">
        <f t="shared" si="4"/>
        <v>#REF!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163" t="e">
        <f t="shared" si="5"/>
        <v>#REF!</v>
      </c>
    </row>
    <row r="26" spans="2:17" ht="16" thickBot="1" x14ac:dyDescent="0.25">
      <c r="B26"/>
      <c r="G26" s="96"/>
      <c r="H26" s="97"/>
      <c r="I26" s="97"/>
      <c r="J26" s="97"/>
      <c r="K26" s="155"/>
      <c r="L26" s="97"/>
      <c r="M26" s="97"/>
      <c r="N26" s="97"/>
      <c r="O26" s="97"/>
      <c r="P26" s="97"/>
      <c r="Q26" s="167"/>
    </row>
    <row r="27" spans="2:17" ht="16" thickBot="1" x14ac:dyDescent="0.25">
      <c r="B27"/>
      <c r="G27" s="96"/>
      <c r="H27" s="97"/>
      <c r="I27" s="422" t="s">
        <v>26</v>
      </c>
      <c r="J27" s="423"/>
      <c r="K27" s="164" t="s">
        <v>38</v>
      </c>
      <c r="L27" s="97"/>
      <c r="M27" s="97"/>
      <c r="N27" s="97"/>
      <c r="O27" s="422" t="s">
        <v>26</v>
      </c>
      <c r="P27" s="423"/>
      <c r="Q27" s="164" t="s">
        <v>38</v>
      </c>
    </row>
    <row r="28" spans="2:17" ht="16" thickBot="1" x14ac:dyDescent="0.25">
      <c r="B28"/>
      <c r="G28" s="101"/>
      <c r="H28" s="100"/>
      <c r="I28" s="110">
        <f>SUM(J23:J25)</f>
        <v>0</v>
      </c>
      <c r="J28" s="155" t="e">
        <f>SUM(K23:K25)</f>
        <v>#REF!</v>
      </c>
      <c r="K28" s="165" t="e">
        <f>I28-J28</f>
        <v>#REF!</v>
      </c>
      <c r="L28" s="101"/>
      <c r="M28" s="100"/>
      <c r="N28" s="100"/>
      <c r="O28" s="110">
        <f>SUM(P23:P25)</f>
        <v>0</v>
      </c>
      <c r="P28" s="155" t="e">
        <f>SUM(Q23:Q25)</f>
        <v>#REF!</v>
      </c>
      <c r="Q28" s="155" t="e">
        <f>O28-P28</f>
        <v>#REF!</v>
      </c>
    </row>
    <row r="29" spans="2:17" ht="16" thickBot="1" x14ac:dyDescent="0.25">
      <c r="B29"/>
    </row>
    <row r="30" spans="2:17" x14ac:dyDescent="0.2">
      <c r="B30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/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/>
      <c r="F32" s="145"/>
      <c r="G32" s="419" t="s">
        <v>17</v>
      </c>
      <c r="H32" s="420"/>
      <c r="I32" s="421"/>
      <c r="J32" s="7" t="s">
        <v>18</v>
      </c>
      <c r="K32" s="7" t="s">
        <v>113</v>
      </c>
      <c r="L32" s="97"/>
      <c r="M32" s="419" t="s">
        <v>19</v>
      </c>
      <c r="N32" s="420"/>
      <c r="O32" s="421"/>
      <c r="P32" s="7" t="s">
        <v>18</v>
      </c>
      <c r="Q32" s="7" t="s">
        <v>113</v>
      </c>
    </row>
    <row r="33" spans="2:17" ht="16" thickBot="1" x14ac:dyDescent="0.25">
      <c r="B33"/>
      <c r="F33" s="145"/>
      <c r="G33" s="9"/>
      <c r="J33" s="144">
        <f>C15</f>
        <v>400000</v>
      </c>
      <c r="K33" s="144">
        <f ca="1">J33-E15</f>
        <v>368605.58059030439</v>
      </c>
      <c r="L33" s="97"/>
      <c r="M33" s="9"/>
      <c r="P33" s="20">
        <f>J33</f>
        <v>400000</v>
      </c>
      <c r="Q33" s="20">
        <f ca="1">P33-E15</f>
        <v>368605.58059030439</v>
      </c>
    </row>
    <row r="34" spans="2:17" x14ac:dyDescent="0.2">
      <c r="B34"/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190">
        <f ca="1">IF(IF(K$33&gt;H34,(H34-G34)*I34,(K$33-G34)*I34)&gt;0,IF(K$33&gt;H34,(H34-G34)*I34,(K$33-G34)*I34),0)</f>
        <v>11058.167417709132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190">
        <f ca="1">IF(IF(Q$33&gt;N34,(N34-M34)*O34,(Q$33-M34)*O34)&gt;0,IF(Q$33&gt;N34,(N34-M34)*O34,(Q$33-M34)*O34),0)</f>
        <v>11058.167417709132</v>
      </c>
    </row>
    <row r="35" spans="2:17" x14ac:dyDescent="0.2">
      <c r="B35"/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91">
        <f ca="1"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91">
        <f ca="1">IF(IF(Q$33&gt;N35,(N35-M35)*O35,(Q$33-M35)*O35)&gt;0,IF(Q$33&gt;N35,(N35-M35)*O35,(Q$33-M35)*O35),0)</f>
        <v>0</v>
      </c>
    </row>
    <row r="36" spans="2:17" x14ac:dyDescent="0.2">
      <c r="B36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91">
        <f ca="1"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91">
        <f ca="1">IF(IF(Q$33&gt;N36,(N36-M36)*O36,(Q$33-M36)*O36)&gt;0,IF(Q$33&gt;N36,(N36-M36)*O36,(Q$33-M36)*O36),0)</f>
        <v>0</v>
      </c>
    </row>
    <row r="37" spans="2:17" x14ac:dyDescent="0.2">
      <c r="B37"/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91">
        <f ca="1"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91">
        <f ca="1">IF(IF(Q$33&gt;N37,(N37-M37)*O37,(Q$33-M37)*O37)&gt;0,IF(Q$33&gt;N37,(N37-M37)*O37,(Q$33-M37)*O37),0)</f>
        <v>0</v>
      </c>
    </row>
    <row r="38" spans="2:17" x14ac:dyDescent="0.2">
      <c r="B38"/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91">
        <f ca="1"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91">
        <f ca="1">IF(IF(Q$33&gt;N38,(N38-M38)*O38,(Q$33-M38)*O38)&gt;0,IF(Q$33&gt;N38,(N38-M38)*O38,(Q$33-M38)*O38),0)</f>
        <v>0</v>
      </c>
    </row>
    <row r="39" spans="2:17" ht="16" thickBot="1" x14ac:dyDescent="0.25">
      <c r="B39"/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192">
        <f ca="1">IF(K33&gt;=G39,(K33-G39)*I39,0)</f>
        <v>0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192">
        <f ca="1">IF(Q33&gt;=M39,(Q33-M39)*O39,0)</f>
        <v>0</v>
      </c>
    </row>
    <row r="40" spans="2:17" ht="16" thickBot="1" x14ac:dyDescent="0.25">
      <c r="B40"/>
      <c r="F40" s="141"/>
      <c r="G40" s="96"/>
      <c r="H40" s="97"/>
      <c r="I40" s="97"/>
      <c r="J40" s="97"/>
      <c r="K40" s="131"/>
      <c r="L40" s="97"/>
      <c r="M40" s="97"/>
      <c r="N40" s="97"/>
      <c r="O40" s="97"/>
      <c r="P40" s="97"/>
      <c r="Q40" s="131"/>
    </row>
    <row r="41" spans="2:17" ht="16" thickBot="1" x14ac:dyDescent="0.25">
      <c r="B41"/>
      <c r="F41" s="141"/>
      <c r="G41" s="96"/>
      <c r="H41" s="97"/>
      <c r="I41" s="422" t="s">
        <v>26</v>
      </c>
      <c r="J41" s="423"/>
      <c r="K41" s="7" t="s">
        <v>38</v>
      </c>
      <c r="L41" s="96"/>
      <c r="M41" s="97"/>
      <c r="N41" s="97"/>
      <c r="O41" s="422" t="s">
        <v>26</v>
      </c>
      <c r="P41" s="423"/>
      <c r="Q41" s="7" t="s">
        <v>38</v>
      </c>
    </row>
    <row r="42" spans="2:17" ht="16" thickBot="1" x14ac:dyDescent="0.25">
      <c r="B42"/>
      <c r="G42" s="101"/>
      <c r="H42" s="100"/>
      <c r="I42" s="106">
        <f>SUM(J34:J39)</f>
        <v>12000</v>
      </c>
      <c r="J42" s="194">
        <f ca="1">SUM(K34:K39)</f>
        <v>11058.167417709132</v>
      </c>
      <c r="K42" s="193">
        <f ca="1">I42-J42</f>
        <v>941.83258229086823</v>
      </c>
      <c r="L42" s="101"/>
      <c r="M42" s="100"/>
      <c r="N42" s="100"/>
      <c r="O42" s="106">
        <f>SUM(P34:P39)</f>
        <v>12000</v>
      </c>
      <c r="P42" s="194">
        <f ca="1">SUM(Q34:Q39)</f>
        <v>11058.167417709132</v>
      </c>
      <c r="Q42" s="193">
        <f ca="1">O42-P42</f>
        <v>941.83258229086823</v>
      </c>
    </row>
    <row r="43" spans="2:17" ht="16" thickBot="1" x14ac:dyDescent="0.25">
      <c r="B43"/>
    </row>
    <row r="44" spans="2:17" x14ac:dyDescent="0.2">
      <c r="B44"/>
      <c r="H44" s="181" t="s">
        <v>90</v>
      </c>
      <c r="I44" s="175">
        <f>'Tax Tables'!$C$34</f>
        <v>3.7999999999999999E-2</v>
      </c>
    </row>
    <row r="45" spans="2:17" ht="16" thickBot="1" x14ac:dyDescent="0.25">
      <c r="B45"/>
      <c r="H45" s="174">
        <f>SUM(C8:C11)+C13</f>
        <v>0</v>
      </c>
      <c r="I45" s="140">
        <f>IF(C15-IF(C5="Married-Joint",250000,200000)&gt;H45,(C15-IF(C5="Married-Joint",250000,200000))*I44, H45*I44)</f>
        <v>5700</v>
      </c>
    </row>
    <row r="46" spans="2:17" x14ac:dyDescent="0.2">
      <c r="B46"/>
    </row>
    <row r="47" spans="2:17" x14ac:dyDescent="0.2">
      <c r="B47"/>
    </row>
  </sheetData>
  <scenarios current="0" sqref="H29">
    <scenario name="test1" locked="1" count="1" user="Microsoft Office User" comment="Created by Microsoft Office User on 8/21/2025">
      <inputCells r="B41" undone="1" val="14000000" numFmtId="167"/>
    </scenario>
  </scenarios>
  <mergeCells count="17">
    <mergeCell ref="G4:Q4"/>
    <mergeCell ref="G6:I6"/>
    <mergeCell ref="D4:E4"/>
    <mergeCell ref="B4:C4"/>
    <mergeCell ref="I16:J16"/>
    <mergeCell ref="M6:O6"/>
    <mergeCell ref="O16:P16"/>
    <mergeCell ref="M21:O21"/>
    <mergeCell ref="G19:Q19"/>
    <mergeCell ref="G21:I21"/>
    <mergeCell ref="I27:J27"/>
    <mergeCell ref="O27:P27"/>
    <mergeCell ref="G30:Q30"/>
    <mergeCell ref="G32:I32"/>
    <mergeCell ref="I41:J41"/>
    <mergeCell ref="O41:P41"/>
    <mergeCell ref="M32:O32"/>
  </mergeCells>
  <pageMargins left="0.7" right="0.7" top="0.75" bottom="0.75" header="0.3" footer="0.3"/>
  <ignoredErrors>
    <ignoredError sqref="G8:Q8 G31:Q31 H30:Q30 G20:Q20 H19:Q19 G23:Q29 G21:I21 K21:O21 Q21 G22:I22 K22:Q22 G7:I7 K7:Q7 G34:Q42 G32:J32 L32:P32 G33:I33 L33:P33 G10:Q18 G9:I9 K9:Q9" evalError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9D50-645E-2B48-AFAC-0EA745AF2A94}">
  <dimension ref="B3:Q47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0" width="14" customWidth="1"/>
    <col min="11" max="11" width="14.83203125" customWidth="1"/>
    <col min="12" max="12" width="2.5" customWidth="1"/>
    <col min="13" max="13" width="14" customWidth="1"/>
    <col min="14" max="14" width="21.33203125" customWidth="1"/>
    <col min="15" max="15" width="13.1640625" customWidth="1"/>
    <col min="16" max="16" width="14" customWidth="1"/>
    <col min="17" max="17" width="14.83203125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06" t="s">
        <v>81</v>
      </c>
      <c r="C4" s="408"/>
      <c r="D4" s="407" t="s">
        <v>79</v>
      </c>
      <c r="E4" s="40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83" t="s">
        <v>13</v>
      </c>
      <c r="C5" s="134" t="str">
        <f>'Strategy comparison'!C4</f>
        <v>Married-Joint</v>
      </c>
      <c r="D5" s="182" t="s">
        <v>91</v>
      </c>
      <c r="E5" s="183">
        <f>IF(C5="Married-Joint",I17+I28+I45,IF(C5="Single",O17+O28+I45,"Filing Status?"))</f>
        <v>86895.419999999984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9" t="s">
        <v>14</v>
      </c>
      <c r="C6" s="135">
        <f>'Strategy comparison'!C5</f>
        <v>400000</v>
      </c>
      <c r="D6" s="132" t="s">
        <v>67</v>
      </c>
      <c r="E6" s="138">
        <f ca="1">C18</f>
        <v>70583.134034315139</v>
      </c>
      <c r="G6" s="419" t="s">
        <v>17</v>
      </c>
      <c r="H6" s="420"/>
      <c r="I6" s="421"/>
      <c r="J6" s="131" t="s">
        <v>100</v>
      </c>
      <c r="K6" s="154" t="s">
        <v>80</v>
      </c>
      <c r="M6" s="419" t="s">
        <v>19</v>
      </c>
      <c r="N6" s="420"/>
      <c r="O6" s="421"/>
      <c r="P6" s="131" t="s">
        <v>100</v>
      </c>
      <c r="Q6" s="154" t="s">
        <v>80</v>
      </c>
    </row>
    <row r="7" spans="2:17" ht="16" thickBot="1" x14ac:dyDescent="0.25">
      <c r="B7" s="9" t="s">
        <v>15</v>
      </c>
      <c r="C7" s="135">
        <f>'Strategy comparison'!C6-'DB comparison'!C2</f>
        <v>0</v>
      </c>
      <c r="D7" s="133" t="s">
        <v>68</v>
      </c>
      <c r="E7" s="139">
        <f ca="1">E8-E6</f>
        <v>125456.98955544915</v>
      </c>
      <c r="G7" s="116"/>
      <c r="H7" s="117"/>
      <c r="I7" s="82"/>
      <c r="J7" s="142">
        <f>C12</f>
        <v>400000</v>
      </c>
      <c r="K7" s="155" t="e">
        <f>J7-MIN(C15*#REF!,J7)</f>
        <v>#REF!</v>
      </c>
      <c r="L7" s="97"/>
      <c r="M7" s="116"/>
      <c r="N7" s="117"/>
      <c r="O7" s="82"/>
      <c r="P7" s="39">
        <f>J7</f>
        <v>400000</v>
      </c>
      <c r="Q7" s="161" t="e">
        <f>K7</f>
        <v>#REF!</v>
      </c>
    </row>
    <row r="8" spans="2:17" x14ac:dyDescent="0.2">
      <c r="B8" s="9" t="s">
        <v>16</v>
      </c>
      <c r="C8" s="135">
        <f>'Strategy comparison'!C7</f>
        <v>0</v>
      </c>
      <c r="D8" s="133" t="s">
        <v>69</v>
      </c>
      <c r="E8" s="139">
        <f ca="1">C18/C16</f>
        <v>196064.26120643094</v>
      </c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156" t="e">
        <f t="shared" ref="K8:K13" si="1">IF(IF(K$7&gt;H8,(H8-G8)*I8,(K$7-G8)*I8)&gt;0,IF(K$7&gt;H8,(H8-G8)*I8,(K$7-G8)*I8),0)</f>
        <v>#REF!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156" t="e">
        <f t="shared" ref="Q8:Q13" si="3">IF(IF(Q$7&gt;N8,(N8-M8)*O8,(Q$7-M8)*O8)&gt;0,IF(Q$7&gt;N8,(N8-M8)*O8,(Q$7-M8)*O8),0)</f>
        <v>#REF!</v>
      </c>
    </row>
    <row r="9" spans="2:17" x14ac:dyDescent="0.2">
      <c r="B9" s="9" t="s">
        <v>96</v>
      </c>
      <c r="C9" s="135">
        <f>'Strategy comparison'!$C$9</f>
        <v>0</v>
      </c>
      <c r="D9" s="133" t="s">
        <v>70</v>
      </c>
      <c r="E9" s="139">
        <f ca="1">E8*C17</f>
        <v>78425.704482572371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57" t="e">
        <f t="shared" si="1"/>
        <v>#REF!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57" t="e">
        <f t="shared" si="3"/>
        <v>#REF!</v>
      </c>
    </row>
    <row r="10" spans="2:17" x14ac:dyDescent="0.2">
      <c r="B10" s="9" t="s">
        <v>98</v>
      </c>
      <c r="C10" s="135">
        <f>'Strategy comparison'!$C$10</f>
        <v>0</v>
      </c>
      <c r="D10" s="9" t="s">
        <v>76</v>
      </c>
      <c r="E10" s="135">
        <f ca="1">E16</f>
        <v>7522.1477178469358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57" t="e">
        <f t="shared" si="1"/>
        <v>#REF!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57" t="e">
        <f t="shared" si="3"/>
        <v>#REF!</v>
      </c>
    </row>
    <row r="11" spans="2:17" x14ac:dyDescent="0.2">
      <c r="B11" s="9" t="s">
        <v>97</v>
      </c>
      <c r="C11" s="135">
        <f>'Strategy comparison'!$C$11</f>
        <v>0</v>
      </c>
      <c r="D11" s="77" t="s">
        <v>85</v>
      </c>
      <c r="E11" s="184">
        <f ca="1">SUM(E9:E10)+K42</f>
        <v>86888.120665150171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57" t="e">
        <f t="shared" si="1"/>
        <v>#REF!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57" t="e">
        <f t="shared" si="3"/>
        <v>#REF!</v>
      </c>
    </row>
    <row r="12" spans="2:17" x14ac:dyDescent="0.2">
      <c r="B12" s="9" t="s">
        <v>100</v>
      </c>
      <c r="C12" s="135">
        <f>SUM(C6:C9)+C11</f>
        <v>400000</v>
      </c>
      <c r="D12" s="150" t="s">
        <v>87</v>
      </c>
      <c r="E12" s="151">
        <f ca="1">E11-C18-'Strategy comparison'!C12</f>
        <v>16304.986630835032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57" t="e">
        <f t="shared" si="1"/>
        <v>#REF!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57" t="e">
        <f t="shared" si="3"/>
        <v>#REF!</v>
      </c>
    </row>
    <row r="13" spans="2:17" x14ac:dyDescent="0.2">
      <c r="B13" s="9" t="s">
        <v>99</v>
      </c>
      <c r="C13" s="135">
        <f>'Strategy comparison'!C8</f>
        <v>0</v>
      </c>
      <c r="D13" s="9" t="s">
        <v>71</v>
      </c>
      <c r="E13" s="135">
        <f ca="1">E8-(E9/2)</f>
        <v>156851.40896514474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57" t="e">
        <f t="shared" si="1"/>
        <v>#REF!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57" t="e">
        <f t="shared" si="3"/>
        <v>#REF!</v>
      </c>
    </row>
    <row r="14" spans="2:17" ht="16" thickBot="1" x14ac:dyDescent="0.25">
      <c r="B14" s="9" t="s">
        <v>101</v>
      </c>
      <c r="C14" s="135">
        <f>C13+C10</f>
        <v>0</v>
      </c>
      <c r="D14" s="9" t="s">
        <v>68</v>
      </c>
      <c r="E14" s="135">
        <f ca="1">E7</f>
        <v>125456.98955544915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58" t="e">
        <f>IF(K7&gt;=G14,(K7-G14)*I14,0)</f>
        <v>#REF!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58" t="e">
        <f>IF(Q7&gt;=M14,(Q7-M14)*O14,0)</f>
        <v>#REF!</v>
      </c>
    </row>
    <row r="15" spans="2:17" ht="16" thickBot="1" x14ac:dyDescent="0.25">
      <c r="B15" s="9" t="s">
        <v>18</v>
      </c>
      <c r="C15" s="135">
        <f>C12+C14</f>
        <v>400000</v>
      </c>
      <c r="D15" s="9" t="s">
        <v>75</v>
      </c>
      <c r="E15" s="135">
        <f ca="1">E13-E14</f>
        <v>31394.419409695591</v>
      </c>
      <c r="G15" s="96"/>
      <c r="H15" s="97"/>
      <c r="I15" s="97"/>
      <c r="J15" s="97"/>
      <c r="K15" s="164"/>
      <c r="L15" s="97"/>
      <c r="M15" s="97"/>
      <c r="N15" s="97"/>
      <c r="O15" s="97"/>
      <c r="P15" s="97"/>
      <c r="Q15" s="166"/>
    </row>
    <row r="16" spans="2:17" ht="16" thickBot="1" x14ac:dyDescent="0.25">
      <c r="B16" s="9" t="s">
        <v>73</v>
      </c>
      <c r="C16" s="136">
        <v>0.36</v>
      </c>
      <c r="D16" s="15" t="s">
        <v>76</v>
      </c>
      <c r="E16" s="140">
        <f ca="1">IF($C$5="Married-Joint",
    I17-((MAX(0,MIN(J7-E15,H8)-G8)*I8)
        +(MAX(0,MIN(J7-E15,H9)-G9)*I9)
        +(MAX(0,MIN(J7-E15,H10)-G10)*I10)
        +(MAX(0,MIN(J7-E15,H11)-G11)*I11)
        +(MAX(0,MIN(J7-E15,H12)-G12)*I12)
        +(MAX(0,MIN(J7-E15,H13)-G13)*I13)
        +(MAX(0,MIN(J7-E15,H14)-G14)*I14)),
    O17-((MAX(0,MIN(P7-E15,N8)-M8)*O8)
        +(MAX(0,MIN(P7-E15,N9)-M9)*O9)
        +(MAX(0,MIN(P7-E15,N10)-M10)*O10)
        +(MAX(0,MIN(P7-E15,N11)-M11)*O11)
        +(MAX(0,MIN(P7-E15,N12)-M12)*O12)
        +(MAX(0,MIN(P7-E15,N13)-M13)*O13)
        +(MAX(0,MIN(P7-E15,N14)-M14)*O14))
)</f>
        <v>7534.6606583269313</v>
      </c>
      <c r="G16" s="103"/>
      <c r="H16" s="97"/>
      <c r="I16" s="422" t="s">
        <v>26</v>
      </c>
      <c r="J16" s="423"/>
      <c r="K16" s="154" t="s">
        <v>38</v>
      </c>
      <c r="L16" s="96"/>
      <c r="M16" s="97"/>
      <c r="N16" s="97"/>
      <c r="O16" s="422" t="s">
        <v>26</v>
      </c>
      <c r="P16" s="423"/>
      <c r="Q16" s="154" t="s">
        <v>38</v>
      </c>
    </row>
    <row r="17" spans="2:17" ht="16" thickBot="1" x14ac:dyDescent="0.25">
      <c r="B17" s="9" t="s">
        <v>74</v>
      </c>
      <c r="C17" s="136">
        <v>0.4</v>
      </c>
      <c r="G17" s="105"/>
      <c r="H17" s="100"/>
      <c r="I17" s="106">
        <f>SUM(J8:J14)</f>
        <v>81195.419999999984</v>
      </c>
      <c r="J17" s="159" t="e">
        <f>SUM(K8:K14)</f>
        <v>#REF!</v>
      </c>
      <c r="K17" s="160" t="e">
        <f>I17-J17</f>
        <v>#REF!</v>
      </c>
      <c r="L17" s="101"/>
      <c r="M17" s="100"/>
      <c r="N17" s="100"/>
      <c r="O17" s="106">
        <f>SUM(P8:P14)</f>
        <v>108768</v>
      </c>
      <c r="P17" s="159" t="e">
        <f>SUM(Q8:Q14)</f>
        <v>#REF!</v>
      </c>
      <c r="Q17" s="160" t="e">
        <f>O17-P17</f>
        <v>#REF!</v>
      </c>
    </row>
    <row r="18" spans="2:17" ht="16" thickBot="1" x14ac:dyDescent="0.25">
      <c r="B18" s="227" t="s">
        <v>77</v>
      </c>
      <c r="C18" s="228">
        <f ca="1">IF('DB comparison'!H5="",IF(E11&gt;E5,IF(ABS(E5-E11)&gt;10000,C18-(0.01*E5),C18-(0.0001*E5)),IF(ABS(E5-E11)&gt;10000,C18+(0.01*E5),C18+(0.0001*E5))),'DB comparison'!H5)</f>
        <v>70591.823576315132</v>
      </c>
      <c r="G18" s="6"/>
    </row>
    <row r="19" spans="2:17" ht="16" thickBot="1" x14ac:dyDescent="0.25">
      <c r="B19"/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182" t="s">
        <v>156</v>
      </c>
      <c r="C20" s="286">
        <f ca="1">IF(ABS(SUM('DB comparison'!F26:F27)-MAX(MIN('Solar &amp; DB'!E11,SUM('DB comparison'!F26:F27)),0))&gt;1000, SUM('DB comparison'!F26:F27)-MAX(MIN('Solar &amp; DB'!E11,SUM('DB comparison'!F26:F27)),0),0)</f>
        <v>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146"/>
      <c r="G21" s="419" t="s">
        <v>17</v>
      </c>
      <c r="H21" s="420"/>
      <c r="I21" s="421"/>
      <c r="J21" s="131" t="s">
        <v>108</v>
      </c>
      <c r="K21" s="154" t="s">
        <v>31</v>
      </c>
      <c r="L21" s="97"/>
      <c r="M21" s="419" t="s">
        <v>19</v>
      </c>
      <c r="N21" s="420"/>
      <c r="O21" s="421"/>
      <c r="P21" s="109" t="s">
        <v>108</v>
      </c>
      <c r="Q21" s="154" t="s">
        <v>31</v>
      </c>
    </row>
    <row r="22" spans="2:17" ht="16" thickBot="1" x14ac:dyDescent="0.25">
      <c r="B22"/>
      <c r="G22" s="118"/>
      <c r="H22" s="119"/>
      <c r="I22" s="120"/>
      <c r="J22" s="144">
        <f>C14</f>
        <v>0</v>
      </c>
      <c r="K22" s="162" t="e">
        <f>J22-IF((#REF!*#REF!)&gt;J7, (#REF!*#REF!)-J7,0)</f>
        <v>#REF!</v>
      </c>
      <c r="L22" s="97"/>
      <c r="M22" s="116"/>
      <c r="N22" s="117"/>
      <c r="O22" s="82"/>
      <c r="P22" s="144">
        <f>C13</f>
        <v>0</v>
      </c>
      <c r="Q22" s="162" t="e">
        <f>P22-IF((#REF!*#REF!)&gt;P7, (#REF!*#REF!)-P7,0)</f>
        <v>#REF!</v>
      </c>
    </row>
    <row r="23" spans="2:17" ht="16" thickBot="1" x14ac:dyDescent="0.25">
      <c r="B23"/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163" t="e">
        <f t="shared" si="4"/>
        <v>#REF!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163" t="e">
        <f t="shared" si="5"/>
        <v>#REF!</v>
      </c>
    </row>
    <row r="24" spans="2:17" ht="16" thickBot="1" x14ac:dyDescent="0.25">
      <c r="B24"/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163" t="e">
        <f t="shared" si="4"/>
        <v>#REF!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163" t="e">
        <f t="shared" si="5"/>
        <v>#REF!</v>
      </c>
    </row>
    <row r="25" spans="2:17" ht="16" thickBot="1" x14ac:dyDescent="0.25">
      <c r="B25"/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163" t="e">
        <f t="shared" si="4"/>
        <v>#REF!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163" t="e">
        <f t="shared" si="5"/>
        <v>#REF!</v>
      </c>
    </row>
    <row r="26" spans="2:17" ht="16" thickBot="1" x14ac:dyDescent="0.25">
      <c r="B26"/>
      <c r="G26" s="96"/>
      <c r="H26" s="97"/>
      <c r="I26" s="97"/>
      <c r="J26" s="97"/>
      <c r="K26" s="155"/>
      <c r="L26" s="97"/>
      <c r="M26" s="97"/>
      <c r="N26" s="97"/>
      <c r="O26" s="97"/>
      <c r="P26" s="97"/>
      <c r="Q26" s="167"/>
    </row>
    <row r="27" spans="2:17" ht="16" thickBot="1" x14ac:dyDescent="0.25">
      <c r="B27"/>
      <c r="G27" s="96"/>
      <c r="H27" s="97"/>
      <c r="I27" s="422" t="s">
        <v>26</v>
      </c>
      <c r="J27" s="423"/>
      <c r="K27" s="164" t="s">
        <v>38</v>
      </c>
      <c r="L27" s="97"/>
      <c r="M27" s="97"/>
      <c r="N27" s="97"/>
      <c r="O27" s="422" t="s">
        <v>26</v>
      </c>
      <c r="P27" s="423"/>
      <c r="Q27" s="164" t="s">
        <v>38</v>
      </c>
    </row>
    <row r="28" spans="2:17" ht="16" thickBot="1" x14ac:dyDescent="0.25">
      <c r="B28"/>
      <c r="G28" s="101"/>
      <c r="H28" s="100"/>
      <c r="I28" s="110">
        <f>SUM(J23:J25)</f>
        <v>0</v>
      </c>
      <c r="J28" s="155" t="e">
        <f>SUM(K23:K25)</f>
        <v>#REF!</v>
      </c>
      <c r="K28" s="165" t="e">
        <f>I28-J28</f>
        <v>#REF!</v>
      </c>
      <c r="L28" s="101"/>
      <c r="M28" s="100"/>
      <c r="N28" s="100"/>
      <c r="O28" s="110">
        <f>SUM(P23:P25)</f>
        <v>0</v>
      </c>
      <c r="P28" s="155" t="e">
        <f>SUM(Q23:Q25)</f>
        <v>#REF!</v>
      </c>
      <c r="Q28" s="155" t="e">
        <f>O28-P28</f>
        <v>#REF!</v>
      </c>
    </row>
    <row r="29" spans="2:17" ht="16" thickBot="1" x14ac:dyDescent="0.25">
      <c r="B29"/>
    </row>
    <row r="30" spans="2:17" x14ac:dyDescent="0.2">
      <c r="B30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/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/>
      <c r="F32" s="145"/>
      <c r="G32" s="419" t="s">
        <v>17</v>
      </c>
      <c r="H32" s="420"/>
      <c r="I32" s="421"/>
      <c r="J32" s="7" t="s">
        <v>18</v>
      </c>
      <c r="K32" s="7" t="s">
        <v>113</v>
      </c>
      <c r="L32" s="97"/>
      <c r="M32" s="419" t="s">
        <v>19</v>
      </c>
      <c r="N32" s="420"/>
      <c r="O32" s="421"/>
      <c r="P32" s="7" t="s">
        <v>18</v>
      </c>
      <c r="Q32" s="7" t="s">
        <v>113</v>
      </c>
    </row>
    <row r="33" spans="2:17" ht="16" thickBot="1" x14ac:dyDescent="0.25">
      <c r="B33"/>
      <c r="F33" s="145"/>
      <c r="G33" s="9"/>
      <c r="J33" s="144">
        <f>C15</f>
        <v>400000</v>
      </c>
      <c r="K33" s="144">
        <f ca="1">J33-E15</f>
        <v>368605.58059030439</v>
      </c>
      <c r="L33" s="97"/>
      <c r="M33" s="9"/>
      <c r="P33" s="20">
        <f>J33</f>
        <v>400000</v>
      </c>
      <c r="Q33" s="20">
        <f ca="1">P33-E15</f>
        <v>368605.58059030439</v>
      </c>
    </row>
    <row r="34" spans="2:17" x14ac:dyDescent="0.2">
      <c r="B34"/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190">
        <f ca="1">IF(IF(K$33&gt;H34,(H34-G34)*I34,(K$33-G34)*I34)&gt;0,IF(K$33&gt;H34,(H34-G34)*I34,(K$33-G34)*I34),0)</f>
        <v>11058.167417709132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190">
        <f ca="1">IF(IF(Q$33&gt;N34,(N34-M34)*O34,(Q$33-M34)*O34)&gt;0,IF(Q$33&gt;N34,(N34-M34)*O34,(Q$33-M34)*O34),0)</f>
        <v>11058.167417709132</v>
      </c>
    </row>
    <row r="35" spans="2:17" x14ac:dyDescent="0.2">
      <c r="B35"/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91">
        <f ca="1"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91">
        <f ca="1">IF(IF(Q$33&gt;N35,(N35-M35)*O35,(Q$33-M35)*O35)&gt;0,IF(Q$33&gt;N35,(N35-M35)*O35,(Q$33-M35)*O35),0)</f>
        <v>0</v>
      </c>
    </row>
    <row r="36" spans="2:17" x14ac:dyDescent="0.2">
      <c r="B36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91">
        <f ca="1"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91">
        <f ca="1">IF(IF(Q$33&gt;N36,(N36-M36)*O36,(Q$33-M36)*O36)&gt;0,IF(Q$33&gt;N36,(N36-M36)*O36,(Q$33-M36)*O36),0)</f>
        <v>0</v>
      </c>
    </row>
    <row r="37" spans="2:17" x14ac:dyDescent="0.2">
      <c r="B37"/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91">
        <f ca="1"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91">
        <f ca="1">IF(IF(Q$33&gt;N37,(N37-M37)*O37,(Q$33-M37)*O37)&gt;0,IF(Q$33&gt;N37,(N37-M37)*O37,(Q$33-M37)*O37),0)</f>
        <v>0</v>
      </c>
    </row>
    <row r="38" spans="2:17" x14ac:dyDescent="0.2">
      <c r="B38"/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91">
        <f ca="1"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91">
        <f ca="1">IF(IF(Q$33&gt;N38,(N38-M38)*O38,(Q$33-M38)*O38)&gt;0,IF(Q$33&gt;N38,(N38-M38)*O38,(Q$33-M38)*O38),0)</f>
        <v>0</v>
      </c>
    </row>
    <row r="39" spans="2:17" ht="16" thickBot="1" x14ac:dyDescent="0.25">
      <c r="B39"/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192">
        <f ca="1">IF(K33&gt;=G39,(K33-G39)*I39,0)</f>
        <v>0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192">
        <f ca="1">IF(Q33&gt;=M39,(Q33-M39)*O39,0)</f>
        <v>0</v>
      </c>
    </row>
    <row r="40" spans="2:17" ht="16" thickBot="1" x14ac:dyDescent="0.25">
      <c r="B40"/>
      <c r="F40" s="141"/>
      <c r="G40" s="96"/>
      <c r="H40" s="97"/>
      <c r="I40" s="97"/>
      <c r="J40" s="97"/>
      <c r="K40" s="131"/>
      <c r="L40" s="97"/>
      <c r="M40" s="97"/>
      <c r="N40" s="97"/>
      <c r="O40" s="97"/>
      <c r="P40" s="97"/>
      <c r="Q40" s="131"/>
    </row>
    <row r="41" spans="2:17" ht="16" thickBot="1" x14ac:dyDescent="0.25">
      <c r="B41"/>
      <c r="F41" s="141"/>
      <c r="G41" s="96"/>
      <c r="H41" s="97"/>
      <c r="I41" s="422" t="s">
        <v>26</v>
      </c>
      <c r="J41" s="423"/>
      <c r="K41" s="7" t="s">
        <v>38</v>
      </c>
      <c r="L41" s="96"/>
      <c r="M41" s="97"/>
      <c r="N41" s="97"/>
      <c r="O41" s="422" t="s">
        <v>26</v>
      </c>
      <c r="P41" s="423"/>
      <c r="Q41" s="7" t="s">
        <v>38</v>
      </c>
    </row>
    <row r="42" spans="2:17" ht="16" thickBot="1" x14ac:dyDescent="0.25">
      <c r="B42"/>
      <c r="G42" s="101"/>
      <c r="H42" s="100"/>
      <c r="I42" s="106">
        <f>SUM(J34:J39)</f>
        <v>12000</v>
      </c>
      <c r="J42" s="194">
        <f ca="1">SUM(K34:K39)</f>
        <v>11058.167417709132</v>
      </c>
      <c r="K42" s="193">
        <f ca="1">I42-J42</f>
        <v>941.83258229086823</v>
      </c>
      <c r="L42" s="101"/>
      <c r="M42" s="100"/>
      <c r="N42" s="100"/>
      <c r="O42" s="106">
        <f>SUM(P34:P39)</f>
        <v>12000</v>
      </c>
      <c r="P42" s="194">
        <f ca="1">SUM(Q34:Q39)</f>
        <v>11058.167417709132</v>
      </c>
      <c r="Q42" s="193">
        <f ca="1">O42-P42</f>
        <v>941.83258229086823</v>
      </c>
    </row>
    <row r="43" spans="2:17" ht="16" thickBot="1" x14ac:dyDescent="0.25">
      <c r="B43"/>
    </row>
    <row r="44" spans="2:17" x14ac:dyDescent="0.2">
      <c r="B44"/>
      <c r="H44" s="181" t="s">
        <v>90</v>
      </c>
      <c r="I44" s="175">
        <f>'Tax Tables'!$C$34</f>
        <v>3.7999999999999999E-2</v>
      </c>
    </row>
    <row r="45" spans="2:17" ht="16" thickBot="1" x14ac:dyDescent="0.25">
      <c r="B45"/>
      <c r="H45" s="174">
        <f>SUM(C8:C11)+C13</f>
        <v>0</v>
      </c>
      <c r="I45" s="140">
        <f>IF(C15-IF(C5="Married-Joint",250000,200000)&gt;H45,(C15-IF(C5="Married-Joint",250000,200000))*I44, H45*I44)</f>
        <v>5700</v>
      </c>
    </row>
    <row r="46" spans="2:17" x14ac:dyDescent="0.2">
      <c r="B46"/>
    </row>
    <row r="47" spans="2:17" x14ac:dyDescent="0.2">
      <c r="B47"/>
    </row>
  </sheetData>
  <scenarios current="0" sqref="H29">
    <scenario name="test1" locked="1" count="1" user="Microsoft Office User" comment="Created by Microsoft Office User on 8/21/2025">
      <inputCells r="B41" undone="1" val="14000000" numFmtId="167"/>
    </scenario>
  </scenarios>
  <mergeCells count="17">
    <mergeCell ref="I16:J16"/>
    <mergeCell ref="O16:P16"/>
    <mergeCell ref="B4:C4"/>
    <mergeCell ref="D4:E4"/>
    <mergeCell ref="G4:Q4"/>
    <mergeCell ref="G6:I6"/>
    <mergeCell ref="M6:O6"/>
    <mergeCell ref="G32:I32"/>
    <mergeCell ref="M32:O32"/>
    <mergeCell ref="I41:J41"/>
    <mergeCell ref="O41:P41"/>
    <mergeCell ref="G19:Q19"/>
    <mergeCell ref="G21:I21"/>
    <mergeCell ref="M21:O21"/>
    <mergeCell ref="I27:J27"/>
    <mergeCell ref="O27:P27"/>
    <mergeCell ref="G30:Q30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7FD2-144E-364F-9D7D-3EAB5ABB2C6D}">
  <dimension ref="B3:Q47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0" width="14" customWidth="1"/>
    <col min="11" max="11" width="14.83203125" customWidth="1"/>
    <col min="12" max="12" width="2.5" customWidth="1"/>
    <col min="13" max="13" width="14" customWidth="1"/>
    <col min="14" max="14" width="21.33203125" customWidth="1"/>
    <col min="15" max="16" width="14" customWidth="1"/>
    <col min="17" max="17" width="14.83203125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06" t="s">
        <v>81</v>
      </c>
      <c r="C4" s="408"/>
      <c r="D4" s="407" t="s">
        <v>79</v>
      </c>
      <c r="E4" s="40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83" t="s">
        <v>13</v>
      </c>
      <c r="C5" s="134" t="str">
        <f>'Strategy comparison'!C4</f>
        <v>Married-Joint</v>
      </c>
      <c r="D5" s="182" t="s">
        <v>91</v>
      </c>
      <c r="E5" s="183">
        <f>IF(C5="Married-Joint",I17+I28+I45,IF(C5="Single",O17+O28+I45,"Filing Status?"))</f>
        <v>259462.87999999998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9" t="s">
        <v>14</v>
      </c>
      <c r="C6" s="135">
        <f>'Strategy comparison'!C5+'Roth comparison'!C2</f>
        <v>850000</v>
      </c>
      <c r="D6" s="132" t="s">
        <v>67</v>
      </c>
      <c r="E6" s="138">
        <f ca="1">C18</f>
        <v>201426.72213729873</v>
      </c>
      <c r="G6" s="419" t="s">
        <v>17</v>
      </c>
      <c r="H6" s="420"/>
      <c r="I6" s="421"/>
      <c r="J6" s="131" t="s">
        <v>100</v>
      </c>
      <c r="K6" s="154" t="s">
        <v>80</v>
      </c>
      <c r="M6" s="419" t="s">
        <v>19</v>
      </c>
      <c r="N6" s="420"/>
      <c r="O6" s="421"/>
      <c r="P6" s="131" t="s">
        <v>100</v>
      </c>
      <c r="Q6" s="154" t="s">
        <v>80</v>
      </c>
    </row>
    <row r="7" spans="2:17" ht="16" thickBot="1" x14ac:dyDescent="0.25">
      <c r="B7" s="9" t="s">
        <v>15</v>
      </c>
      <c r="C7" s="135">
        <f>'Strategy comparison'!C6</f>
        <v>0</v>
      </c>
      <c r="D7" s="133" t="s">
        <v>68</v>
      </c>
      <c r="E7" s="139">
        <f ca="1">E8-E6</f>
        <v>358164.02348853106</v>
      </c>
      <c r="G7" s="116"/>
      <c r="H7" s="117"/>
      <c r="I7" s="82"/>
      <c r="J7" s="142">
        <f>C12</f>
        <v>850000</v>
      </c>
      <c r="K7" s="155" t="e">
        <f>J7-MIN(C15*#REF!,J7)</f>
        <v>#REF!</v>
      </c>
      <c r="L7" s="97"/>
      <c r="M7" s="116"/>
      <c r="N7" s="117"/>
      <c r="O7" s="82"/>
      <c r="P7" s="39">
        <f>J7</f>
        <v>850000</v>
      </c>
      <c r="Q7" s="161" t="e">
        <f>K7</f>
        <v>#REF!</v>
      </c>
    </row>
    <row r="8" spans="2:17" x14ac:dyDescent="0.2">
      <c r="B8" s="9" t="s">
        <v>16</v>
      </c>
      <c r="C8" s="135">
        <f>'Strategy comparison'!C7</f>
        <v>0</v>
      </c>
      <c r="D8" s="133" t="s">
        <v>69</v>
      </c>
      <c r="E8" s="139">
        <f ca="1">C18/C16</f>
        <v>559518.67260360764</v>
      </c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156" t="e">
        <f t="shared" ref="K8:K13" si="1">IF(IF(K$7&gt;H8,(H8-G8)*I8,(K$7-G8)*I8)&gt;0,IF(K$7&gt;H8,(H8-G8)*I8,(K$7-G8)*I8),0)</f>
        <v>#REF!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156" t="e">
        <f t="shared" ref="Q8:Q13" si="3">IF(IF(Q$7&gt;N8,(N8-M8)*O8,(Q$7-M8)*O8)&gt;0,IF(Q$7&gt;N8,(N8-M8)*O8,(Q$7-M8)*O8),0)</f>
        <v>#REF!</v>
      </c>
    </row>
    <row r="9" spans="2:17" x14ac:dyDescent="0.2">
      <c r="B9" s="9" t="s">
        <v>96</v>
      </c>
      <c r="C9" s="135">
        <f>'Strategy comparison'!$C$9</f>
        <v>0</v>
      </c>
      <c r="D9" s="133" t="s">
        <v>70</v>
      </c>
      <c r="E9" s="139">
        <f ca="1">E8*C17</f>
        <v>223807.46904144308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57" t="e">
        <f t="shared" si="1"/>
        <v>#REF!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57" t="e">
        <f t="shared" si="3"/>
        <v>#REF!</v>
      </c>
    </row>
    <row r="10" spans="2:17" x14ac:dyDescent="0.2">
      <c r="B10" s="9" t="s">
        <v>98</v>
      </c>
      <c r="C10" s="135">
        <f>'Strategy comparison'!$C$10</f>
        <v>0</v>
      </c>
      <c r="D10" s="9" t="s">
        <v>76</v>
      </c>
      <c r="E10" s="135">
        <f ca="1">E16</f>
        <v>32987.937312824215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57" t="e">
        <f t="shared" si="1"/>
        <v>#REF!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57" t="e">
        <f t="shared" si="3"/>
        <v>#REF!</v>
      </c>
    </row>
    <row r="11" spans="2:17" x14ac:dyDescent="0.2">
      <c r="B11" s="9" t="s">
        <v>97</v>
      </c>
      <c r="C11" s="135">
        <f>'Strategy comparison'!$C$11</f>
        <v>0</v>
      </c>
      <c r="D11" s="77" t="s">
        <v>85</v>
      </c>
      <c r="E11" s="184">
        <f ca="1">SUM(E9:E10)+K42</f>
        <v>259483.60412393796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46115.759999999995</v>
      </c>
      <c r="K11" s="157" t="e">
        <f t="shared" si="1"/>
        <v>#REF!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57" t="e">
        <f t="shared" si="3"/>
        <v>#REF!</v>
      </c>
    </row>
    <row r="12" spans="2:17" x14ac:dyDescent="0.2">
      <c r="B12" s="9" t="s">
        <v>100</v>
      </c>
      <c r="C12" s="135">
        <f>SUM(C6:C9)+C11</f>
        <v>850000</v>
      </c>
      <c r="D12" s="150" t="s">
        <v>87</v>
      </c>
      <c r="E12" s="151">
        <f ca="1">E11-C18-'Strategy comparison'!C12</f>
        <v>58056.88198663923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34847.68</v>
      </c>
      <c r="K12" s="157" t="e">
        <f t="shared" si="1"/>
        <v>#REF!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57" t="e">
        <f t="shared" si="3"/>
        <v>#REF!</v>
      </c>
    </row>
    <row r="13" spans="2:17" x14ac:dyDescent="0.2">
      <c r="B13" s="9" t="s">
        <v>99</v>
      </c>
      <c r="C13" s="135">
        <f>'Strategy comparison'!C8</f>
        <v>0</v>
      </c>
      <c r="D13" s="9" t="s">
        <v>71</v>
      </c>
      <c r="E13" s="135">
        <f ca="1">E8-(E9/2)</f>
        <v>447614.9380828861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89687.15</v>
      </c>
      <c r="K13" s="157" t="e">
        <f t="shared" si="1"/>
        <v>#REF!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134530.9</v>
      </c>
      <c r="Q13" s="157" t="e">
        <f t="shared" si="3"/>
        <v>#REF!</v>
      </c>
    </row>
    <row r="14" spans="2:17" ht="16" thickBot="1" x14ac:dyDescent="0.25">
      <c r="B14" s="9" t="s">
        <v>101</v>
      </c>
      <c r="C14" s="135">
        <f>C13+C10</f>
        <v>0</v>
      </c>
      <c r="D14" s="9" t="s">
        <v>68</v>
      </c>
      <c r="E14" s="135">
        <f ca="1">E7</f>
        <v>358164.02348853106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30080.63</v>
      </c>
      <c r="K14" s="158" t="e">
        <f>IF(K7&gt;=G14,(K7-G14)*I14,0)</f>
        <v>#REF!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77477.63</v>
      </c>
      <c r="Q14" s="158" t="e">
        <f>IF(Q7&gt;=M14,(Q7-M14)*O14,0)</f>
        <v>#REF!</v>
      </c>
    </row>
    <row r="15" spans="2:17" ht="16" thickBot="1" x14ac:dyDescent="0.25">
      <c r="B15" s="9" t="s">
        <v>18</v>
      </c>
      <c r="C15" s="135">
        <f>C12+C14</f>
        <v>850000</v>
      </c>
      <c r="D15" s="9" t="s">
        <v>75</v>
      </c>
      <c r="E15" s="135">
        <f ca="1">E13-E14</f>
        <v>89450.914594355039</v>
      </c>
      <c r="G15" s="96"/>
      <c r="H15" s="97"/>
      <c r="I15" s="97"/>
      <c r="J15" s="97"/>
      <c r="K15" s="164"/>
      <c r="L15" s="97"/>
      <c r="M15" s="97"/>
      <c r="N15" s="97"/>
      <c r="O15" s="97"/>
      <c r="P15" s="97"/>
      <c r="Q15" s="166"/>
    </row>
    <row r="16" spans="2:17" ht="16" thickBot="1" x14ac:dyDescent="0.25">
      <c r="B16" s="9" t="s">
        <v>73</v>
      </c>
      <c r="C16" s="136">
        <v>0.36</v>
      </c>
      <c r="D16" s="15" t="s">
        <v>76</v>
      </c>
      <c r="E16" s="140">
        <f ca="1">IF($C$5="Married-Joint",
    I17-((MAX(0,MIN(J7-E15,H8)-G8)*I8)
        +(MAX(0,MIN(J7-E15,H9)-G9)*I9)
        +(MAX(0,MIN(J7-E15,H10)-G10)*I10)
        +(MAX(0,MIN(J7-E15,H11)-G11)*I11)
        +(MAX(0,MIN(J7-E15,H12)-G12)*I12)
        +(MAX(0,MIN(J7-E15,H13)-G13)*I13)
        +(MAX(0,MIN(J7-E15,H14)-G14)*I14)),
    O17-((MAX(0,MIN(P7-E15,N8)-M8)*O8)
        +(MAX(0,MIN(P7-E15,N9)-M9)*O9)
        +(MAX(0,MIN(P7-E15,N10)-M10)*O10)
        +(MAX(0,MIN(P7-E15,N11)-M11)*O11)
        +(MAX(0,MIN(P7-E15,N12)-M12)*O12)
        +(MAX(0,MIN(P7-E15,N13)-M13)*O13)
        +(MAX(0,MIN(P7-E15,N14)-M14)*O14))
)</f>
        <v>32933.450108024263</v>
      </c>
      <c r="G16" s="103"/>
      <c r="H16" s="97"/>
      <c r="I16" s="422" t="s">
        <v>26</v>
      </c>
      <c r="J16" s="423"/>
      <c r="K16" s="154" t="s">
        <v>38</v>
      </c>
      <c r="L16" s="96"/>
      <c r="M16" s="97"/>
      <c r="N16" s="97"/>
      <c r="O16" s="422" t="s">
        <v>26</v>
      </c>
      <c r="P16" s="423"/>
      <c r="Q16" s="154" t="s">
        <v>38</v>
      </c>
    </row>
    <row r="17" spans="2:17" ht="16" thickBot="1" x14ac:dyDescent="0.25">
      <c r="B17" s="9" t="s">
        <v>74</v>
      </c>
      <c r="C17" s="136">
        <v>0.4</v>
      </c>
      <c r="G17" s="105"/>
      <c r="H17" s="100"/>
      <c r="I17" s="106">
        <f>SUM(J8:J14)</f>
        <v>236662.87999999998</v>
      </c>
      <c r="J17" s="159" t="e">
        <f>SUM(K8:K14)</f>
        <v>#REF!</v>
      </c>
      <c r="K17" s="160" t="e">
        <f>I17-J17</f>
        <v>#REF!</v>
      </c>
      <c r="L17" s="101"/>
      <c r="M17" s="100"/>
      <c r="N17" s="100"/>
      <c r="O17" s="106">
        <f>SUM(P8:P14)</f>
        <v>270455.63</v>
      </c>
      <c r="P17" s="159" t="e">
        <f>SUM(Q8:Q14)</f>
        <v>#REF!</v>
      </c>
      <c r="Q17" s="160" t="e">
        <f>O17-P17</f>
        <v>#REF!</v>
      </c>
    </row>
    <row r="18" spans="2:17" ht="16" thickBot="1" x14ac:dyDescent="0.25">
      <c r="B18" s="227" t="s">
        <v>77</v>
      </c>
      <c r="C18" s="228">
        <f ca="1">IF('Roth comparison'!H5="",IF(E11&gt;E5,IF(ABS(E5-E11)&gt;10000,C18-(0.01*E5),C18-(0.0001*E5)),IF(ABS(E5-E11)&gt;10000,C18+(0.01*E5),C18+(0.0001*E5))),'Roth comparison'!H5)</f>
        <v>201400.77584929872</v>
      </c>
      <c r="G18" s="6"/>
    </row>
    <row r="19" spans="2:17" ht="16" thickBot="1" x14ac:dyDescent="0.25">
      <c r="B19"/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182" t="s">
        <v>156</v>
      </c>
      <c r="C20" s="286">
        <f ca="1">IF(ABS(SUM('Strategy comparison'!F4:F5)-MAX(MIN('Solar &amp; Roth'!E11,SUM('Strategy comparison'!F4:F5)),0))&gt;1000, SUM('Strategy comparison'!F4:F5)-MAX(MIN('Solar &amp; Roth'!E11,SUM('Strategy comparison'!F4:F5)),0),0)</f>
        <v>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146"/>
      <c r="G21" s="419" t="s">
        <v>17</v>
      </c>
      <c r="H21" s="420"/>
      <c r="I21" s="421"/>
      <c r="J21" s="131" t="s">
        <v>108</v>
      </c>
      <c r="K21" s="154" t="s">
        <v>31</v>
      </c>
      <c r="L21" s="97"/>
      <c r="M21" s="419" t="s">
        <v>19</v>
      </c>
      <c r="N21" s="420"/>
      <c r="O21" s="421"/>
      <c r="P21" s="109" t="s">
        <v>108</v>
      </c>
      <c r="Q21" s="154" t="s">
        <v>31</v>
      </c>
    </row>
    <row r="22" spans="2:17" ht="16" thickBot="1" x14ac:dyDescent="0.25">
      <c r="B22"/>
      <c r="G22" s="118"/>
      <c r="H22" s="119"/>
      <c r="I22" s="120"/>
      <c r="J22" s="144">
        <f>C14</f>
        <v>0</v>
      </c>
      <c r="K22" s="162" t="e">
        <f>J22-IF((#REF!*#REF!)&gt;J7, (#REF!*#REF!)-J7,0)</f>
        <v>#REF!</v>
      </c>
      <c r="L22" s="97"/>
      <c r="M22" s="116"/>
      <c r="N22" s="117"/>
      <c r="O22" s="82"/>
      <c r="P22" s="144">
        <f>C13</f>
        <v>0</v>
      </c>
      <c r="Q22" s="162" t="e">
        <f>P22-IF((#REF!*#REF!)&gt;P7, (#REF!*#REF!)-P7,0)</f>
        <v>#REF!</v>
      </c>
    </row>
    <row r="23" spans="2:17" ht="16" thickBot="1" x14ac:dyDescent="0.25">
      <c r="B23"/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163" t="e">
        <f t="shared" si="4"/>
        <v>#REF!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163" t="e">
        <f t="shared" si="5"/>
        <v>#REF!</v>
      </c>
    </row>
    <row r="24" spans="2:17" ht="16" thickBot="1" x14ac:dyDescent="0.25">
      <c r="B24"/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163" t="e">
        <f t="shared" si="4"/>
        <v>#REF!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163" t="e">
        <f t="shared" si="5"/>
        <v>#REF!</v>
      </c>
    </row>
    <row r="25" spans="2:17" ht="16" thickBot="1" x14ac:dyDescent="0.25">
      <c r="B25"/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163" t="e">
        <f t="shared" si="4"/>
        <v>#REF!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163" t="e">
        <f t="shared" si="5"/>
        <v>#REF!</v>
      </c>
    </row>
    <row r="26" spans="2:17" ht="16" thickBot="1" x14ac:dyDescent="0.25">
      <c r="B26"/>
      <c r="G26" s="96"/>
      <c r="H26" s="97"/>
      <c r="I26" s="97"/>
      <c r="J26" s="97"/>
      <c r="K26" s="155"/>
      <c r="L26" s="97"/>
      <c r="M26" s="97"/>
      <c r="N26" s="97"/>
      <c r="O26" s="97"/>
      <c r="P26" s="97"/>
      <c r="Q26" s="167"/>
    </row>
    <row r="27" spans="2:17" ht="16" thickBot="1" x14ac:dyDescent="0.25">
      <c r="B27"/>
      <c r="G27" s="96"/>
      <c r="H27" s="97"/>
      <c r="I27" s="422" t="s">
        <v>26</v>
      </c>
      <c r="J27" s="423"/>
      <c r="K27" s="164" t="s">
        <v>38</v>
      </c>
      <c r="L27" s="97"/>
      <c r="M27" s="97"/>
      <c r="N27" s="97"/>
      <c r="O27" s="422" t="s">
        <v>26</v>
      </c>
      <c r="P27" s="423"/>
      <c r="Q27" s="164" t="s">
        <v>38</v>
      </c>
    </row>
    <row r="28" spans="2:17" ht="16" thickBot="1" x14ac:dyDescent="0.25">
      <c r="B28"/>
      <c r="G28" s="101"/>
      <c r="H28" s="100"/>
      <c r="I28" s="110">
        <f>SUM(J23:J25)</f>
        <v>0</v>
      </c>
      <c r="J28" s="155" t="e">
        <f>SUM(K23:K25)</f>
        <v>#REF!</v>
      </c>
      <c r="K28" s="165" t="e">
        <f>I28-J28</f>
        <v>#REF!</v>
      </c>
      <c r="L28" s="101"/>
      <c r="M28" s="100"/>
      <c r="N28" s="100"/>
      <c r="O28" s="110">
        <f>SUM(P23:P25)</f>
        <v>0</v>
      </c>
      <c r="P28" s="155" t="e">
        <f>SUM(Q23:Q25)</f>
        <v>#REF!</v>
      </c>
      <c r="Q28" s="155" t="e">
        <f>O28-P28</f>
        <v>#REF!</v>
      </c>
    </row>
    <row r="29" spans="2:17" ht="16" thickBot="1" x14ac:dyDescent="0.25">
      <c r="B29"/>
    </row>
    <row r="30" spans="2:17" x14ac:dyDescent="0.2">
      <c r="B30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/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/>
      <c r="F32" s="145"/>
      <c r="G32" s="419" t="s">
        <v>17</v>
      </c>
      <c r="H32" s="420"/>
      <c r="I32" s="421"/>
      <c r="J32" s="7" t="s">
        <v>18</v>
      </c>
      <c r="K32" s="7" t="s">
        <v>113</v>
      </c>
      <c r="L32" s="97"/>
      <c r="M32" s="419" t="s">
        <v>19</v>
      </c>
      <c r="N32" s="420"/>
      <c r="O32" s="421"/>
      <c r="P32" s="7" t="s">
        <v>18</v>
      </c>
      <c r="Q32" s="7" t="s">
        <v>113</v>
      </c>
    </row>
    <row r="33" spans="2:17" ht="16" thickBot="1" x14ac:dyDescent="0.25">
      <c r="B33"/>
      <c r="F33" s="145"/>
      <c r="G33" s="9"/>
      <c r="J33" s="144">
        <f>C15</f>
        <v>850000</v>
      </c>
      <c r="K33" s="144">
        <f ca="1">J33-E15</f>
        <v>760549.08540564496</v>
      </c>
      <c r="L33" s="97"/>
      <c r="M33" s="9"/>
      <c r="P33" s="20">
        <f>J33</f>
        <v>850000</v>
      </c>
      <c r="Q33" s="20">
        <f ca="1">P33-E15</f>
        <v>760549.08540564496</v>
      </c>
    </row>
    <row r="34" spans="2:17" x14ac:dyDescent="0.2">
      <c r="B34"/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25500</v>
      </c>
      <c r="K34" s="190">
        <f ca="1">IF(IF(K$33&gt;H34,(H34-G34)*I34,(K$33-G34)*I34)&gt;0,IF(K$33&gt;H34,(H34-G34)*I34,(K$33-G34)*I34),0)</f>
        <v>22816.472562169347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25500</v>
      </c>
      <c r="Q34" s="190">
        <f ca="1">IF(IF(Q$33&gt;N34,(N34-M34)*O34,(Q$33-M34)*O34)&gt;0,IF(Q$33&gt;N34,(N34-M34)*O34,(Q$33-M34)*O34),0)</f>
        <v>22816.472562169347</v>
      </c>
    </row>
    <row r="35" spans="2:17" x14ac:dyDescent="0.2">
      <c r="B35"/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91">
        <f ca="1"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91">
        <f ca="1">IF(IF(Q$33&gt;N35,(N35-M35)*O35,(Q$33-M35)*O35)&gt;0,IF(Q$33&gt;N35,(N35-M35)*O35,(Q$33-M35)*O35),0)</f>
        <v>0</v>
      </c>
    </row>
    <row r="36" spans="2:17" x14ac:dyDescent="0.2">
      <c r="B36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91">
        <f ca="1"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91">
        <f ca="1">IF(IF(Q$33&gt;N36,(N36-M36)*O36,(Q$33-M36)*O36)&gt;0,IF(Q$33&gt;N36,(N36-M36)*O36,(Q$33-M36)*O36),0)</f>
        <v>0</v>
      </c>
    </row>
    <row r="37" spans="2:17" x14ac:dyDescent="0.2">
      <c r="B37"/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91">
        <f ca="1"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91">
        <f ca="1">IF(IF(Q$33&gt;N37,(N37-M37)*O37,(Q$33-M37)*O37)&gt;0,IF(Q$33&gt;N37,(N37-M37)*O37,(Q$33-M37)*O37),0)</f>
        <v>0</v>
      </c>
    </row>
    <row r="38" spans="2:17" x14ac:dyDescent="0.2">
      <c r="B38"/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91">
        <f ca="1"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91">
        <f ca="1">IF(IF(Q$33&gt;N38,(N38-M38)*O38,(Q$33-M38)*O38)&gt;0,IF(Q$33&gt;N38,(N38-M38)*O38,(Q$33-M38)*O38),0)</f>
        <v>0</v>
      </c>
    </row>
    <row r="39" spans="2:17" ht="16" thickBot="1" x14ac:dyDescent="0.25">
      <c r="B39"/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192">
        <f ca="1">IF(K33&gt;=G39,(K33-G39)*I39,0)</f>
        <v>0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192">
        <f ca="1">IF(Q33&gt;=M39,(Q33-M39)*O39,0)</f>
        <v>0</v>
      </c>
    </row>
    <row r="40" spans="2:17" ht="16" thickBot="1" x14ac:dyDescent="0.25">
      <c r="B40"/>
      <c r="F40" s="141"/>
      <c r="G40" s="96"/>
      <c r="H40" s="97"/>
      <c r="I40" s="97"/>
      <c r="J40" s="97"/>
      <c r="K40" s="131"/>
      <c r="L40" s="97"/>
      <c r="M40" s="97"/>
      <c r="N40" s="97"/>
      <c r="O40" s="97"/>
      <c r="P40" s="97"/>
      <c r="Q40" s="131"/>
    </row>
    <row r="41" spans="2:17" ht="16" thickBot="1" x14ac:dyDescent="0.25">
      <c r="B41"/>
      <c r="F41" s="141"/>
      <c r="G41" s="96"/>
      <c r="H41" s="97"/>
      <c r="I41" s="422" t="s">
        <v>26</v>
      </c>
      <c r="J41" s="423"/>
      <c r="K41" s="7" t="s">
        <v>38</v>
      </c>
      <c r="L41" s="96"/>
      <c r="M41" s="97"/>
      <c r="N41" s="97"/>
      <c r="O41" s="422" t="s">
        <v>26</v>
      </c>
      <c r="P41" s="423"/>
      <c r="Q41" s="7" t="s">
        <v>38</v>
      </c>
    </row>
    <row r="42" spans="2:17" ht="16" thickBot="1" x14ac:dyDescent="0.25">
      <c r="B42"/>
      <c r="G42" s="101"/>
      <c r="H42" s="100"/>
      <c r="I42" s="106">
        <f>SUM(J34:J39)</f>
        <v>25500</v>
      </c>
      <c r="J42" s="194">
        <f ca="1">SUM(K34:K39)</f>
        <v>22816.472562169347</v>
      </c>
      <c r="K42" s="193">
        <f ca="1">I42-J42</f>
        <v>2683.5274378306531</v>
      </c>
      <c r="L42" s="101"/>
      <c r="M42" s="100"/>
      <c r="N42" s="100"/>
      <c r="O42" s="106">
        <f>SUM(P34:P39)</f>
        <v>25500</v>
      </c>
      <c r="P42" s="194">
        <f ca="1">SUM(Q34:Q39)</f>
        <v>22816.472562169347</v>
      </c>
      <c r="Q42" s="193">
        <f ca="1">O42-P42</f>
        <v>2683.5274378306531</v>
      </c>
    </row>
    <row r="43" spans="2:17" ht="16" thickBot="1" x14ac:dyDescent="0.25">
      <c r="B43"/>
    </row>
    <row r="44" spans="2:17" x14ac:dyDescent="0.2">
      <c r="B44"/>
      <c r="H44" s="181" t="s">
        <v>90</v>
      </c>
      <c r="I44" s="175">
        <f>'Tax Tables'!$C$34</f>
        <v>3.7999999999999999E-2</v>
      </c>
    </row>
    <row r="45" spans="2:17" ht="16" thickBot="1" x14ac:dyDescent="0.25">
      <c r="B45"/>
      <c r="H45" s="174">
        <f>SUM(C8:C11)+C13</f>
        <v>0</v>
      </c>
      <c r="I45" s="140">
        <f>IF(C15-IF(C5="Married-Joint",250000,200000)&gt;H45,(C15-IF(C5="Married-Joint",250000,200000))*I44, H45*I44)</f>
        <v>22800</v>
      </c>
    </row>
    <row r="46" spans="2:17" x14ac:dyDescent="0.2">
      <c r="B46"/>
    </row>
    <row r="47" spans="2:17" x14ac:dyDescent="0.2">
      <c r="B47"/>
    </row>
  </sheetData>
  <scenarios current="0" sqref="H29">
    <scenario name="test1" locked="1" count="1" user="Microsoft Office User" comment="Created by Microsoft Office User on 8/21/2025">
      <inputCells r="B41" undone="1" val="14000000" numFmtId="167"/>
    </scenario>
  </scenarios>
  <mergeCells count="17">
    <mergeCell ref="I16:J16"/>
    <mergeCell ref="O16:P16"/>
    <mergeCell ref="B4:C4"/>
    <mergeCell ref="D4:E4"/>
    <mergeCell ref="G4:Q4"/>
    <mergeCell ref="G6:I6"/>
    <mergeCell ref="M6:O6"/>
    <mergeCell ref="G32:I32"/>
    <mergeCell ref="M32:O32"/>
    <mergeCell ref="I41:J41"/>
    <mergeCell ref="O41:P41"/>
    <mergeCell ref="G19:Q19"/>
    <mergeCell ref="G21:I21"/>
    <mergeCell ref="M21:O21"/>
    <mergeCell ref="I27:J27"/>
    <mergeCell ref="O27:P27"/>
    <mergeCell ref="G30:Q30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0A5B-F0DA-4151-A5AD-CB2A4BF3D00E}">
  <dimension ref="B1:P53"/>
  <sheetViews>
    <sheetView zoomScale="110" zoomScaleNormal="110" workbookViewId="0">
      <selection activeCell="H46" sqref="H46"/>
    </sheetView>
  </sheetViews>
  <sheetFormatPr baseColWidth="10" defaultColWidth="8.83203125" defaultRowHeight="15" x14ac:dyDescent="0.2"/>
  <cols>
    <col min="2" max="2" width="24.5" bestFit="1" customWidth="1"/>
    <col min="3" max="3" width="15.5" bestFit="1" customWidth="1"/>
    <col min="4" max="4" width="19.5" bestFit="1" customWidth="1"/>
    <col min="5" max="5" width="14.33203125" bestFit="1" customWidth="1"/>
    <col min="6" max="6" width="12.5" bestFit="1" customWidth="1"/>
    <col min="7" max="7" width="16.6640625" customWidth="1"/>
    <col min="8" max="8" width="14.33203125" bestFit="1" customWidth="1"/>
    <col min="9" max="9" width="16.83203125" bestFit="1" customWidth="1"/>
    <col min="10" max="10" width="18.83203125" customWidth="1"/>
    <col min="11" max="11" width="14.33203125" bestFit="1" customWidth="1"/>
    <col min="12" max="12" width="12.5" bestFit="1" customWidth="1"/>
    <col min="13" max="13" width="16.83203125" customWidth="1"/>
    <col min="14" max="14" width="12.5" bestFit="1" customWidth="1"/>
    <col min="15" max="15" width="13.83203125" bestFit="1" customWidth="1"/>
    <col min="16" max="16" width="16.83203125" customWidth="1"/>
  </cols>
  <sheetData>
    <row r="1" spans="2:16" ht="16" thickBot="1" x14ac:dyDescent="0.25"/>
    <row r="2" spans="2:16" ht="16" thickBot="1" x14ac:dyDescent="0.25">
      <c r="B2" s="74"/>
      <c r="C2" s="75"/>
      <c r="D2" s="57" t="s">
        <v>29</v>
      </c>
    </row>
    <row r="3" spans="2:16" ht="16" thickBot="1" x14ac:dyDescent="0.25">
      <c r="B3" s="27" t="s">
        <v>13</v>
      </c>
      <c r="C3" s="148" t="str">
        <f>'Strategy comparison'!C4</f>
        <v>Married-Joint</v>
      </c>
      <c r="D3" s="58" t="s">
        <v>0</v>
      </c>
    </row>
    <row r="4" spans="2:16" ht="16" thickBot="1" x14ac:dyDescent="0.25">
      <c r="B4" s="27" t="s">
        <v>14</v>
      </c>
      <c r="C4" s="89">
        <f>'Strategy comparison'!C5</f>
        <v>400000</v>
      </c>
      <c r="D4" s="42">
        <v>0.5</v>
      </c>
      <c r="F4" s="437" t="s">
        <v>106</v>
      </c>
      <c r="G4" s="438"/>
      <c r="H4" s="438"/>
      <c r="I4" s="438"/>
      <c r="J4" s="438"/>
      <c r="K4" s="438"/>
      <c r="L4" s="438"/>
      <c r="M4" s="438"/>
      <c r="N4" s="438"/>
      <c r="O4" s="438"/>
      <c r="P4" s="439"/>
    </row>
    <row r="5" spans="2:16" ht="16" thickBot="1" x14ac:dyDescent="0.25">
      <c r="B5" s="27" t="s">
        <v>15</v>
      </c>
      <c r="C5" s="52">
        <f>'Strategy comparison'!C6</f>
        <v>0</v>
      </c>
      <c r="D5" s="61"/>
      <c r="F5" s="96"/>
      <c r="G5" s="97"/>
      <c r="H5" s="97"/>
      <c r="I5" s="97"/>
      <c r="J5" s="97"/>
      <c r="K5" s="97"/>
      <c r="L5" s="97"/>
      <c r="M5" s="97"/>
      <c r="N5" s="97"/>
      <c r="O5" s="97"/>
      <c r="P5" s="98"/>
    </row>
    <row r="6" spans="2:16" ht="16" thickBot="1" x14ac:dyDescent="0.25">
      <c r="B6" s="27" t="s">
        <v>16</v>
      </c>
      <c r="C6" s="52">
        <f>'Strategy comparison'!C7</f>
        <v>0</v>
      </c>
      <c r="D6" s="62" t="s">
        <v>72</v>
      </c>
      <c r="F6" s="419" t="s">
        <v>17</v>
      </c>
      <c r="G6" s="420"/>
      <c r="H6" s="421"/>
      <c r="I6" s="7" t="s">
        <v>100</v>
      </c>
      <c r="J6" s="7" t="s">
        <v>103</v>
      </c>
      <c r="L6" s="419" t="s">
        <v>19</v>
      </c>
      <c r="M6" s="420"/>
      <c r="N6" s="421"/>
      <c r="O6" s="7" t="s">
        <v>100</v>
      </c>
      <c r="P6" s="7" t="s">
        <v>103</v>
      </c>
    </row>
    <row r="7" spans="2:16" ht="16" thickBot="1" x14ac:dyDescent="0.25">
      <c r="B7" s="27" t="s">
        <v>96</v>
      </c>
      <c r="C7" s="176">
        <f>'Strategy comparison'!$C$9</f>
        <v>0</v>
      </c>
      <c r="D7" s="63">
        <v>5</v>
      </c>
      <c r="F7" s="116"/>
      <c r="G7" s="117"/>
      <c r="H7" s="82"/>
      <c r="I7" s="69">
        <f>C10</f>
        <v>400000</v>
      </c>
      <c r="J7" s="69">
        <f>C10-MIN(C10,C20)</f>
        <v>200000</v>
      </c>
      <c r="K7" s="97"/>
      <c r="L7" s="116"/>
      <c r="M7" s="117"/>
      <c r="N7" s="82"/>
      <c r="O7" s="39">
        <f>I7</f>
        <v>400000</v>
      </c>
      <c r="P7" s="95">
        <f>J7</f>
        <v>200000</v>
      </c>
    </row>
    <row r="8" spans="2:16" x14ac:dyDescent="0.2">
      <c r="B8" s="27" t="s">
        <v>98</v>
      </c>
      <c r="C8" s="176">
        <f>'Strategy comparison'!$C$10</f>
        <v>0</v>
      </c>
      <c r="D8" s="2" t="s">
        <v>32</v>
      </c>
      <c r="F8" s="34">
        <f>'Tax Tables'!B6</f>
        <v>0</v>
      </c>
      <c r="G8" s="44">
        <f>'Tax Tables'!C6</f>
        <v>24800</v>
      </c>
      <c r="H8" s="10">
        <f>'Tax Tables'!D6</f>
        <v>0.1</v>
      </c>
      <c r="I8" s="38">
        <f t="shared" ref="I8:I13" si="0">IF(IF(I$7&gt;G8,(G8-F8)*H8,(I$7-F8)*H8)&gt;0,IF(I$7&gt;G8,(G8-F8)*H8,(I$7-F8)*H8),0)</f>
        <v>2480</v>
      </c>
      <c r="J8" s="38">
        <f t="shared" ref="J8:J13" si="1">IF(IF(J$7&gt;G8,(G8-F8)*H8,(J$7-F8)*H8)&gt;0,IF(J$7&gt;G8,(G8-F8)*H8,(J$7-F8)*H8),0)</f>
        <v>2480</v>
      </c>
      <c r="K8" s="97"/>
      <c r="L8" s="34">
        <f>'Tax Tables'!F6</f>
        <v>0</v>
      </c>
      <c r="M8" s="44">
        <f>'Tax Tables'!G6</f>
        <v>12400</v>
      </c>
      <c r="N8" s="10">
        <f>'Tax Tables'!H6</f>
        <v>0.1</v>
      </c>
      <c r="O8" s="38">
        <f t="shared" ref="O8:O13" si="2">IF(IF(O$7&gt;M8,(M8-L8)*N8,(O$7-L8)*N8)&gt;0,IF(O$7&gt;M8,(M8-L8)*N8,(O$7-L8)*N8),0)</f>
        <v>1240</v>
      </c>
      <c r="P8" s="38">
        <f t="shared" ref="P8:P13" si="3">IF(IF(P$7&gt;M8,(M8-L8)*N8,(P$7-L8)*N8)&gt;0,IF(P$7&gt;M8,(M8-L8)*N8,(P$7-L8)*N8),0)</f>
        <v>1240</v>
      </c>
    </row>
    <row r="9" spans="2:16" x14ac:dyDescent="0.2">
      <c r="B9" s="27" t="s">
        <v>97</v>
      </c>
      <c r="C9" s="176">
        <f>'Strategy comparison'!$C$11</f>
        <v>0</v>
      </c>
      <c r="D9" s="3" t="s">
        <v>34</v>
      </c>
      <c r="F9" s="34">
        <f>'Tax Tables'!B7</f>
        <v>24801</v>
      </c>
      <c r="G9" s="44">
        <f>'Tax Tables'!C7</f>
        <v>100800</v>
      </c>
      <c r="H9" s="10">
        <f>'Tax Tables'!D7</f>
        <v>0.12</v>
      </c>
      <c r="I9" s="11">
        <f t="shared" si="0"/>
        <v>9119.8799999999992</v>
      </c>
      <c r="J9" s="11">
        <f t="shared" si="1"/>
        <v>9119.8799999999992</v>
      </c>
      <c r="K9" s="97"/>
      <c r="L9" s="34">
        <f>'Tax Tables'!F7</f>
        <v>12401</v>
      </c>
      <c r="M9" s="44">
        <f>'Tax Tables'!G7</f>
        <v>50400</v>
      </c>
      <c r="N9" s="10">
        <f>'Tax Tables'!H7</f>
        <v>0.12</v>
      </c>
      <c r="O9" s="11">
        <f t="shared" si="2"/>
        <v>4559.88</v>
      </c>
      <c r="P9" s="11">
        <f t="shared" si="3"/>
        <v>4559.88</v>
      </c>
    </row>
    <row r="10" spans="2:16" ht="16" thickBot="1" x14ac:dyDescent="0.25">
      <c r="B10" s="27" t="s">
        <v>100</v>
      </c>
      <c r="C10" s="49">
        <f>SUM(C4:C7)+C9</f>
        <v>400000</v>
      </c>
      <c r="D10" s="5">
        <f>C20/D7</f>
        <v>40000</v>
      </c>
      <c r="F10" s="34">
        <f>'Tax Tables'!B8</f>
        <v>100801</v>
      </c>
      <c r="G10" s="44">
        <f>'Tax Tables'!C8</f>
        <v>211400</v>
      </c>
      <c r="H10" s="10">
        <f>'Tax Tables'!D8</f>
        <v>0.22</v>
      </c>
      <c r="I10" s="11">
        <f t="shared" si="0"/>
        <v>24331.78</v>
      </c>
      <c r="J10" s="11">
        <f t="shared" si="1"/>
        <v>21823.78</v>
      </c>
      <c r="K10" s="97"/>
      <c r="L10" s="34">
        <f>'Tax Tables'!F8</f>
        <v>50401</v>
      </c>
      <c r="M10" s="44">
        <f>'Tax Tables'!G8</f>
        <v>105700</v>
      </c>
      <c r="N10" s="10">
        <f>'Tax Tables'!H8</f>
        <v>0.22</v>
      </c>
      <c r="O10" s="11">
        <f t="shared" si="2"/>
        <v>12165.78</v>
      </c>
      <c r="P10" s="11">
        <f t="shared" si="3"/>
        <v>12165.78</v>
      </c>
    </row>
    <row r="11" spans="2:16" x14ac:dyDescent="0.2">
      <c r="B11" s="27" t="s">
        <v>20</v>
      </c>
      <c r="C11" s="49">
        <f>'Strategy comparison'!C8</f>
        <v>0</v>
      </c>
      <c r="D11" s="3" t="s">
        <v>35</v>
      </c>
      <c r="F11" s="34">
        <f>'Tax Tables'!B9</f>
        <v>211401</v>
      </c>
      <c r="G11" s="44">
        <f>'Tax Tables'!C9</f>
        <v>403550</v>
      </c>
      <c r="H11" s="10">
        <f>'Tax Tables'!D9</f>
        <v>0.24</v>
      </c>
      <c r="I11" s="11">
        <f t="shared" si="0"/>
        <v>45263.759999999995</v>
      </c>
      <c r="J11" s="11">
        <f t="shared" si="1"/>
        <v>0</v>
      </c>
      <c r="K11" s="97"/>
      <c r="L11" s="34">
        <f>'Tax Tables'!F9</f>
        <v>105701</v>
      </c>
      <c r="M11" s="44">
        <f>'Tax Tables'!G9</f>
        <v>201775</v>
      </c>
      <c r="N11" s="10">
        <f>'Tax Tables'!H9</f>
        <v>0.24</v>
      </c>
      <c r="O11" s="11">
        <f t="shared" si="2"/>
        <v>23057.759999999998</v>
      </c>
      <c r="P11" s="11">
        <f t="shared" si="3"/>
        <v>22631.759999999998</v>
      </c>
    </row>
    <row r="12" spans="2:16" ht="16" thickBot="1" x14ac:dyDescent="0.25">
      <c r="B12" s="27" t="s">
        <v>102</v>
      </c>
      <c r="C12" s="49">
        <f>C11+C8</f>
        <v>0</v>
      </c>
      <c r="D12" s="147">
        <v>0</v>
      </c>
      <c r="F12" s="34">
        <f>'Tax Tables'!B10</f>
        <v>403551</v>
      </c>
      <c r="G12" s="44">
        <f>'Tax Tables'!C10</f>
        <v>512450</v>
      </c>
      <c r="H12" s="10">
        <f>'Tax Tables'!D10</f>
        <v>0.32</v>
      </c>
      <c r="I12" s="11">
        <f t="shared" si="0"/>
        <v>0</v>
      </c>
      <c r="J12" s="11">
        <f t="shared" si="1"/>
        <v>0</v>
      </c>
      <c r="K12" s="97"/>
      <c r="L12" s="34">
        <f>'Tax Tables'!F10</f>
        <v>201776</v>
      </c>
      <c r="M12" s="44">
        <f>'Tax Tables'!G10</f>
        <v>256225</v>
      </c>
      <c r="N12" s="10">
        <f>'Tax Tables'!H10</f>
        <v>0.32</v>
      </c>
      <c r="O12" s="11">
        <f t="shared" si="2"/>
        <v>17423.68</v>
      </c>
      <c r="P12" s="11">
        <f t="shared" si="3"/>
        <v>0</v>
      </c>
    </row>
    <row r="13" spans="2:16" x14ac:dyDescent="0.2">
      <c r="B13" s="27" t="s">
        <v>18</v>
      </c>
      <c r="C13" s="49">
        <f>C10+C12</f>
        <v>400000</v>
      </c>
      <c r="D13" s="68" t="s">
        <v>36</v>
      </c>
      <c r="F13" s="34">
        <f>'Tax Tables'!B11</f>
        <v>512451</v>
      </c>
      <c r="G13" s="44">
        <f>'Tax Tables'!C11</f>
        <v>768700</v>
      </c>
      <c r="H13" s="10">
        <f>'Tax Tables'!D11</f>
        <v>0.35</v>
      </c>
      <c r="I13" s="11">
        <f t="shared" si="0"/>
        <v>0</v>
      </c>
      <c r="J13" s="11">
        <f t="shared" si="1"/>
        <v>0</v>
      </c>
      <c r="K13" s="97"/>
      <c r="L13" s="34">
        <f>'Tax Tables'!F11</f>
        <v>256226</v>
      </c>
      <c r="M13" s="44">
        <f>'Tax Tables'!G11</f>
        <v>640600</v>
      </c>
      <c r="N13" s="10">
        <f>'Tax Tables'!H11</f>
        <v>0.35</v>
      </c>
      <c r="O13" s="11">
        <f t="shared" si="2"/>
        <v>50320.899999999994</v>
      </c>
      <c r="P13" s="11">
        <f t="shared" si="3"/>
        <v>0</v>
      </c>
    </row>
    <row r="14" spans="2:16" ht="16" thickBot="1" x14ac:dyDescent="0.25">
      <c r="B14" s="28" t="s">
        <v>21</v>
      </c>
      <c r="C14" s="49">
        <f>IF(C3="Single",N17,IF(C3="Married-Joint",H17,"Filing Status?"))</f>
        <v>81195.419999999984</v>
      </c>
      <c r="D14" s="129">
        <f>D10*(1-D12)</f>
        <v>40000</v>
      </c>
      <c r="E14" s="6"/>
      <c r="F14" s="35">
        <f>'Tax Tables'!B12</f>
        <v>768701</v>
      </c>
      <c r="G14" s="168">
        <f>'Tax Tables'!C12</f>
        <v>99999999999</v>
      </c>
      <c r="H14" s="13">
        <f>'Tax Tables'!D12</f>
        <v>0.37</v>
      </c>
      <c r="I14" s="14">
        <f>IF(I7&gt;=F14,(I7-F14)*H14,0)</f>
        <v>0</v>
      </c>
      <c r="J14" s="14">
        <f>IF(J7&gt;=F14,(J7-F14)*H14,0)</f>
        <v>0</v>
      </c>
      <c r="L14" s="35">
        <f>'Tax Tables'!F12</f>
        <v>640601</v>
      </c>
      <c r="M14" s="168">
        <f>'Tax Tables'!G12</f>
        <v>99999999999</v>
      </c>
      <c r="N14" s="13">
        <f>'Tax Tables'!H12</f>
        <v>0.37</v>
      </c>
      <c r="O14" s="14">
        <f>IF(O7&gt;=L14,(O7-L14)*N14,0)</f>
        <v>0</v>
      </c>
      <c r="P14" s="14">
        <f>IF(P7&gt;=L14,(P7-L14)*N14,0)</f>
        <v>0</v>
      </c>
    </row>
    <row r="15" spans="2:16" ht="16" thickBot="1" x14ac:dyDescent="0.25">
      <c r="B15" s="28" t="s">
        <v>23</v>
      </c>
      <c r="C15" s="49">
        <f>IF(C3="Single",N28,IF(C3="Married-Joint",H28,"Filing Status?"))</f>
        <v>0</v>
      </c>
      <c r="D15" s="68" t="s">
        <v>7</v>
      </c>
      <c r="E15" s="23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2:16" ht="16" thickBot="1" x14ac:dyDescent="0.25">
      <c r="B16" s="28" t="s">
        <v>22</v>
      </c>
      <c r="C16" s="52">
        <f>IF(C3="Single",N42,IF(C3="Married-Joint",H42,"Filing Status?"))</f>
        <v>12000</v>
      </c>
      <c r="D16" s="90">
        <f>'Strategy comparison'!C12</f>
        <v>0</v>
      </c>
      <c r="E16" s="4"/>
      <c r="F16" s="103"/>
      <c r="G16" s="97"/>
      <c r="H16" s="422" t="s">
        <v>26</v>
      </c>
      <c r="I16" s="423"/>
      <c r="J16" s="104" t="s">
        <v>38</v>
      </c>
      <c r="K16" s="96"/>
      <c r="L16" s="97"/>
      <c r="M16" s="97"/>
      <c r="N16" s="422" t="s">
        <v>26</v>
      </c>
      <c r="O16" s="423"/>
      <c r="P16" s="104" t="s">
        <v>38</v>
      </c>
    </row>
    <row r="17" spans="2:16" ht="16" thickBot="1" x14ac:dyDescent="0.25">
      <c r="B17" s="27" t="s">
        <v>24</v>
      </c>
      <c r="C17" s="50">
        <f>SUM(C14:C16)+H45</f>
        <v>93195.419999999984</v>
      </c>
      <c r="D17" s="3" t="s">
        <v>40</v>
      </c>
      <c r="F17" s="105"/>
      <c r="G17" s="100"/>
      <c r="H17" s="106">
        <f>SUM(I8:I14)</f>
        <v>81195.419999999984</v>
      </c>
      <c r="I17" s="106">
        <f>SUM(J8:J14)</f>
        <v>33423.659999999996</v>
      </c>
      <c r="J17" s="107">
        <f>H17-I17</f>
        <v>47771.759999999987</v>
      </c>
      <c r="K17" s="101"/>
      <c r="L17" s="100"/>
      <c r="M17" s="100"/>
      <c r="N17" s="106">
        <f>SUM(O8:O14)</f>
        <v>108768</v>
      </c>
      <c r="O17" s="106">
        <f>SUM(P8:P14)</f>
        <v>40597.42</v>
      </c>
      <c r="P17" s="107">
        <f>N17-O17</f>
        <v>68170.58</v>
      </c>
    </row>
    <row r="18" spans="2:16" ht="16" thickBot="1" x14ac:dyDescent="0.25">
      <c r="B18" s="26" t="s">
        <v>25</v>
      </c>
      <c r="C18" s="59">
        <f>C17/SUM(C10:C11)</f>
        <v>0.23298854999999996</v>
      </c>
      <c r="D18" s="5">
        <f>SUM(D14,D16)</f>
        <v>40000</v>
      </c>
      <c r="E18" s="16"/>
      <c r="F18" s="6"/>
    </row>
    <row r="19" spans="2:16" ht="16" thickBot="1" x14ac:dyDescent="0.25">
      <c r="B19" s="26"/>
      <c r="C19" s="55"/>
      <c r="F19" s="444" t="s">
        <v>105</v>
      </c>
      <c r="G19" s="445"/>
      <c r="H19" s="445"/>
      <c r="I19" s="445"/>
      <c r="J19" s="445"/>
      <c r="K19" s="445"/>
      <c r="L19" s="445"/>
      <c r="M19" s="445"/>
      <c r="N19" s="445"/>
      <c r="O19" s="445"/>
      <c r="P19" s="446"/>
    </row>
    <row r="20" spans="2:16" ht="16" thickBot="1" x14ac:dyDescent="0.25">
      <c r="B20" s="26" t="s">
        <v>37</v>
      </c>
      <c r="C20" s="51">
        <f>IF('Strategy comparison'!I18="",(I7+I22)*D4,'Strategy comparison'!I18)</f>
        <v>200000</v>
      </c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8"/>
    </row>
    <row r="21" spans="2:16" ht="16" thickBot="1" x14ac:dyDescent="0.25">
      <c r="B21" s="26" t="s">
        <v>39</v>
      </c>
      <c r="C21" s="51">
        <f>C13-C20</f>
        <v>200000</v>
      </c>
      <c r="F21" s="419" t="s">
        <v>17</v>
      </c>
      <c r="G21" s="420"/>
      <c r="H21" s="421"/>
      <c r="I21" s="19" t="s">
        <v>108</v>
      </c>
      <c r="J21" s="187" t="s">
        <v>109</v>
      </c>
      <c r="K21" s="97"/>
      <c r="L21" s="419" t="s">
        <v>19</v>
      </c>
      <c r="M21" s="420"/>
      <c r="N21" s="421"/>
      <c r="O21" s="19" t="s">
        <v>108</v>
      </c>
      <c r="P21" s="187" t="s">
        <v>109</v>
      </c>
    </row>
    <row r="22" spans="2:16" ht="16" thickBot="1" x14ac:dyDescent="0.25">
      <c r="B22" s="27" t="s">
        <v>41</v>
      </c>
      <c r="C22" s="52">
        <f>IF(C3="Single",O17,IF(C3="Married-Joint",I17,"Filing Status?"))</f>
        <v>33423.659999999996</v>
      </c>
      <c r="F22" s="118"/>
      <c r="G22" s="119"/>
      <c r="H22" s="120"/>
      <c r="I22" s="73">
        <f>C12</f>
        <v>0</v>
      </c>
      <c r="J22" s="73">
        <f>I22-IF(C20&gt;I7,C20-I7,0)</f>
        <v>0</v>
      </c>
      <c r="K22" s="97"/>
      <c r="L22" s="116"/>
      <c r="M22" s="117"/>
      <c r="N22" s="82"/>
      <c r="O22" s="73">
        <f>C12</f>
        <v>0</v>
      </c>
      <c r="P22" s="73">
        <f>O22</f>
        <v>0</v>
      </c>
    </row>
    <row r="23" spans="2:16" ht="16" thickBot="1" x14ac:dyDescent="0.25">
      <c r="B23" s="27" t="s">
        <v>42</v>
      </c>
      <c r="C23" s="56">
        <f>IF(C3="Single",N42,IF(C3="Married-Joint",H42,"Filing Status?"))</f>
        <v>12000</v>
      </c>
      <c r="E23" s="4"/>
      <c r="F23" s="34">
        <f>'Tax Tables'!B18</f>
        <v>0</v>
      </c>
      <c r="G23" s="44">
        <f>'Tax Tables'!C18</f>
        <v>98900</v>
      </c>
      <c r="H23" s="10">
        <f>'Tax Tables'!D18</f>
        <v>0</v>
      </c>
      <c r="I23" s="81">
        <f t="shared" ref="I23:J25" si="4">IF(I$22&gt;$G23,($G23-$F23)*$H23,MAX((I$22-$F23),0)*$H23)</f>
        <v>0</v>
      </c>
      <c r="J23" s="81">
        <f t="shared" si="4"/>
        <v>0</v>
      </c>
      <c r="K23" s="97"/>
      <c r="L23" s="34">
        <f>'Tax Tables'!F18</f>
        <v>0</v>
      </c>
      <c r="M23" s="44">
        <f>'Tax Tables'!G18</f>
        <v>49450</v>
      </c>
      <c r="N23" s="10">
        <f>'Tax Tables'!H18</f>
        <v>0</v>
      </c>
      <c r="O23" s="81">
        <f t="shared" ref="O23:P25" si="5">IF(O$22&gt;$M23,($M23-$L23)*$N23,MAX((O$22-$L23),0)*$N23)</f>
        <v>0</v>
      </c>
      <c r="P23" s="81">
        <f t="shared" si="5"/>
        <v>0</v>
      </c>
    </row>
    <row r="24" spans="2:16" ht="16" thickBot="1" x14ac:dyDescent="0.25">
      <c r="B24" s="27" t="s">
        <v>23</v>
      </c>
      <c r="C24" s="56">
        <f>IF(C3="Single",O28,IF(C3="Married-Joint",I28,"Filing Status?"))</f>
        <v>0</v>
      </c>
      <c r="E24" s="6"/>
      <c r="F24" s="34">
        <f>'Tax Tables'!B19</f>
        <v>98901</v>
      </c>
      <c r="G24" s="44">
        <f>'Tax Tables'!C19</f>
        <v>613700</v>
      </c>
      <c r="H24" s="10">
        <f>'Tax Tables'!D19</f>
        <v>0.15</v>
      </c>
      <c r="I24" s="81">
        <f t="shared" si="4"/>
        <v>0</v>
      </c>
      <c r="J24" s="81">
        <f t="shared" si="4"/>
        <v>0</v>
      </c>
      <c r="K24" s="97"/>
      <c r="L24" s="34">
        <f>'Tax Tables'!F19</f>
        <v>49451</v>
      </c>
      <c r="M24" s="44">
        <f>'Tax Tables'!G19</f>
        <v>545500</v>
      </c>
      <c r="N24" s="10">
        <f>'Tax Tables'!H19</f>
        <v>0.15</v>
      </c>
      <c r="O24" s="81">
        <f t="shared" si="5"/>
        <v>0</v>
      </c>
      <c r="P24" s="81">
        <f t="shared" si="5"/>
        <v>0</v>
      </c>
    </row>
    <row r="25" spans="2:16" ht="16" thickBot="1" x14ac:dyDescent="0.25">
      <c r="B25" s="27" t="s">
        <v>90</v>
      </c>
      <c r="C25" s="177">
        <f>H45</f>
        <v>0</v>
      </c>
      <c r="D25" s="6"/>
      <c r="E25" s="6"/>
      <c r="F25" s="35">
        <f>'Tax Tables'!B20</f>
        <v>613701</v>
      </c>
      <c r="G25" s="45">
        <f>'Tax Tables'!C20</f>
        <v>99999999999</v>
      </c>
      <c r="H25" s="13">
        <f>'Tax Tables'!D20</f>
        <v>0.2</v>
      </c>
      <c r="I25" s="81">
        <f t="shared" si="4"/>
        <v>0</v>
      </c>
      <c r="J25" s="81">
        <f t="shared" si="4"/>
        <v>0</v>
      </c>
      <c r="K25" s="97"/>
      <c r="L25" s="35">
        <f>'Tax Tables'!F20</f>
        <v>545501</v>
      </c>
      <c r="M25" s="45">
        <f>'Tax Tables'!G20</f>
        <v>99999999999</v>
      </c>
      <c r="N25" s="13">
        <f>'Tax Tables'!H20</f>
        <v>0.2</v>
      </c>
      <c r="O25" s="81">
        <f t="shared" si="5"/>
        <v>0</v>
      </c>
      <c r="P25" s="81">
        <f t="shared" si="5"/>
        <v>0</v>
      </c>
    </row>
    <row r="26" spans="2:16" ht="16" thickBot="1" x14ac:dyDescent="0.25">
      <c r="B26" s="27" t="s">
        <v>43</v>
      </c>
      <c r="C26" s="50">
        <f>SUM(C22:C25)</f>
        <v>45423.659999999996</v>
      </c>
      <c r="D26" s="6"/>
      <c r="F26" s="96"/>
      <c r="G26" s="97"/>
      <c r="H26" s="97"/>
      <c r="I26" s="97"/>
      <c r="J26" s="102"/>
      <c r="K26" s="97"/>
      <c r="L26" s="97"/>
      <c r="M26" s="97"/>
      <c r="N26" s="97"/>
      <c r="O26" s="97"/>
      <c r="P26" s="108"/>
    </row>
    <row r="27" spans="2:16" ht="16" thickBot="1" x14ac:dyDescent="0.25">
      <c r="B27" s="26" t="s">
        <v>25</v>
      </c>
      <c r="C27" s="53">
        <f>(C26+C29)/C13</f>
        <v>0.21355915</v>
      </c>
      <c r="D27" s="6"/>
      <c r="E27" s="6"/>
      <c r="F27" s="96"/>
      <c r="G27" s="97"/>
      <c r="H27" s="422" t="s">
        <v>26</v>
      </c>
      <c r="I27" s="423"/>
      <c r="J27" s="109" t="s">
        <v>38</v>
      </c>
      <c r="K27" s="97"/>
      <c r="L27" s="97"/>
      <c r="M27" s="97"/>
      <c r="N27" s="422" t="s">
        <v>26</v>
      </c>
      <c r="O27" s="423"/>
      <c r="P27" s="109" t="s">
        <v>38</v>
      </c>
    </row>
    <row r="28" spans="2:16" ht="16" thickBot="1" x14ac:dyDescent="0.25">
      <c r="B28" s="27" t="s">
        <v>44</v>
      </c>
      <c r="C28" s="52">
        <f>C17-C26</f>
        <v>47771.759999999987</v>
      </c>
      <c r="D28" s="6"/>
      <c r="F28" s="101"/>
      <c r="G28" s="100"/>
      <c r="H28" s="110">
        <f>SUM(I23:I25)</f>
        <v>0</v>
      </c>
      <c r="I28" s="111">
        <f>SUM(J23:J25)</f>
        <v>0</v>
      </c>
      <c r="J28" s="112">
        <f>H28-I28</f>
        <v>0</v>
      </c>
      <c r="K28" s="101"/>
      <c r="L28" s="100"/>
      <c r="M28" s="100"/>
      <c r="N28" s="110">
        <f>SUM(O23:O25)</f>
        <v>0</v>
      </c>
      <c r="O28" s="111">
        <f>SUM(P23:P25)</f>
        <v>0</v>
      </c>
      <c r="P28" s="111">
        <f>N28-O28</f>
        <v>0</v>
      </c>
    </row>
    <row r="29" spans="2:16" ht="16" thickBot="1" x14ac:dyDescent="0.25">
      <c r="B29" s="47" t="s">
        <v>45</v>
      </c>
      <c r="C29" s="64">
        <f>D18</f>
        <v>40000</v>
      </c>
    </row>
    <row r="30" spans="2:16" ht="16" thickBot="1" x14ac:dyDescent="0.25">
      <c r="B30" s="24" t="s">
        <v>46</v>
      </c>
      <c r="C30" s="54">
        <f>C28-C29</f>
        <v>7771.7599999999875</v>
      </c>
      <c r="D30" s="4"/>
      <c r="F30" s="440" t="s">
        <v>107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2"/>
    </row>
    <row r="31" spans="2:16" ht="16" thickBot="1" x14ac:dyDescent="0.25">
      <c r="F31" s="114"/>
      <c r="G31" s="113"/>
      <c r="H31" s="113"/>
      <c r="I31" s="113"/>
      <c r="J31" s="113"/>
      <c r="K31" s="113"/>
      <c r="L31" s="113"/>
      <c r="M31" s="113"/>
      <c r="N31" s="113"/>
      <c r="O31" s="113"/>
      <c r="P31" s="115"/>
    </row>
    <row r="32" spans="2:16" ht="16" thickBot="1" x14ac:dyDescent="0.25">
      <c r="D32" s="6"/>
      <c r="F32" s="419" t="s">
        <v>17</v>
      </c>
      <c r="G32" s="420"/>
      <c r="H32" s="421"/>
      <c r="I32" s="7" t="s">
        <v>18</v>
      </c>
      <c r="J32" s="7" t="s">
        <v>31</v>
      </c>
      <c r="K32" s="97"/>
      <c r="L32" s="419" t="s">
        <v>19</v>
      </c>
      <c r="M32" s="420"/>
      <c r="N32" s="421"/>
      <c r="O32" s="7" t="s">
        <v>18</v>
      </c>
      <c r="P32" s="7" t="s">
        <v>31</v>
      </c>
    </row>
    <row r="33" spans="3:16" ht="16" thickBot="1" x14ac:dyDescent="0.25">
      <c r="D33" s="8"/>
      <c r="F33" s="9"/>
      <c r="I33" s="73">
        <f>C13</f>
        <v>400000</v>
      </c>
      <c r="J33" s="73">
        <f>I33</f>
        <v>400000</v>
      </c>
      <c r="K33" s="97"/>
      <c r="L33" s="9"/>
      <c r="O33" s="20">
        <f>I33</f>
        <v>400000</v>
      </c>
      <c r="P33" s="20">
        <f>O33</f>
        <v>400000</v>
      </c>
    </row>
    <row r="34" spans="3:16" x14ac:dyDescent="0.2">
      <c r="F34" s="60">
        <f>'Tax Tables'!B25</f>
        <v>0</v>
      </c>
      <c r="G34" s="65">
        <f>'Tax Tables'!C25</f>
        <v>100000000</v>
      </c>
      <c r="H34" s="67">
        <f>'Tax Tables'!D25</f>
        <v>0.03</v>
      </c>
      <c r="I34" s="36">
        <f>IF(IF(I$33&gt;G34,(G34-F34)*H34,(I$33-F34)*H34)&gt;0,IF(I$33&gt;G34,(G34-F34)*H34,(I$33-F34)*H34),0)</f>
        <v>12000</v>
      </c>
      <c r="J34" s="38">
        <f>IF(IF(J$33&gt;G34,(G34-F34)*H34,(J$33-F34)*H34)&gt;0,IF(J$33&gt;G34,(G34-F34)*H34,(J$33-F34)*H34),0)-20000</f>
        <v>-8000</v>
      </c>
      <c r="K34" s="97"/>
      <c r="L34" s="60">
        <f>'Tax Tables'!F25</f>
        <v>0</v>
      </c>
      <c r="M34" s="65">
        <f>'Tax Tables'!G25</f>
        <v>100000000</v>
      </c>
      <c r="N34" s="66">
        <f>'Tax Tables'!H25</f>
        <v>0.03</v>
      </c>
      <c r="O34" s="36">
        <f>IF(IF(O$33&gt;M34,(M34-L34)*N34,(O$33-L34)*N34)&gt;0,IF(O$33&gt;M34,(M34-L34)*N34,(O$33-L34)*N34),0)</f>
        <v>12000</v>
      </c>
      <c r="P34" s="38">
        <f>IF(IF(P$33&gt;M34,(M34-L34)*N34,(P$33-L34)*N34)&gt;0,IF(P$33&gt;M34,(M34-L34)*N34,(P$33-L34)*N34),0)</f>
        <v>12000</v>
      </c>
    </row>
    <row r="35" spans="3:16" x14ac:dyDescent="0.2">
      <c r="F35" s="60">
        <f>'Tax Tables'!B26</f>
        <v>0</v>
      </c>
      <c r="G35" s="65">
        <f>'Tax Tables'!C26</f>
        <v>0</v>
      </c>
      <c r="H35" s="40">
        <f>'Tax Tables'!D26</f>
        <v>0</v>
      </c>
      <c r="I35" s="34">
        <f>IF(IF(I$33&gt;G35,(G35-F35)*H35,(I$33-F35)*H35)&gt;0,IF(I$33&gt;G35,(G35-F35)*H35,(I$33-F35)*H35),0)</f>
        <v>0</v>
      </c>
      <c r="J35" s="11">
        <f>IF(IF(J$33&gt;G35,(G35-F35)*H35,(J$33-F35)*H35)&gt;0,IF(J$33&gt;G35,(G35-F35)*H35,(J$33-F35)*H35),0)</f>
        <v>0</v>
      </c>
      <c r="K35" s="97"/>
      <c r="L35" s="60">
        <f>'Tax Tables'!F26</f>
        <v>0</v>
      </c>
      <c r="M35" s="65">
        <f>'Tax Tables'!G26</f>
        <v>0</v>
      </c>
      <c r="N35" s="29">
        <f>'Tax Tables'!H26</f>
        <v>0</v>
      </c>
      <c r="O35" s="34">
        <f>IF(IF(O$33&gt;M35,(M35-L35)*N35,(O$33-L35)*N35)&gt;0,IF(O$33&gt;M35,(M35-L35)*N35,(O$33-L35)*N35),0)</f>
        <v>0</v>
      </c>
      <c r="P35" s="11">
        <f>IF(IF(P$33&gt;M35,(M35-L35)*N35,(P$33-L35)*N35)&gt;0,IF(P$33&gt;M35,(M35-L35)*N35,(P$33-L35)*N35),0)</f>
        <v>0</v>
      </c>
    </row>
    <row r="36" spans="3:16" x14ac:dyDescent="0.2">
      <c r="F36" s="60">
        <f>'Tax Tables'!B27</f>
        <v>0</v>
      </c>
      <c r="G36" s="65">
        <f>'Tax Tables'!C27</f>
        <v>0</v>
      </c>
      <c r="H36" s="40">
        <f>'Tax Tables'!D27</f>
        <v>0</v>
      </c>
      <c r="I36" s="34">
        <f>IF(IF(I$33&gt;G36,(G36-F36)*H36,(I$33-F36)*H36)&gt;0,IF(I$33&gt;G36,(G36-F36)*H36,(I$33-F36)*H36),0)</f>
        <v>0</v>
      </c>
      <c r="J36" s="11">
        <f>IF(IF(J$33&gt;G36,(G36-F36)*H36,(J$33-F36)*H36)&gt;0,IF(J$33&gt;G36,(G36-F36)*H36,(J$33-F36)*H36),0)</f>
        <v>0</v>
      </c>
      <c r="K36" s="97"/>
      <c r="L36" s="60">
        <f>'Tax Tables'!F27</f>
        <v>0</v>
      </c>
      <c r="M36" s="65">
        <f>'Tax Tables'!G27</f>
        <v>0</v>
      </c>
      <c r="N36" s="29">
        <f>'Tax Tables'!H27</f>
        <v>0</v>
      </c>
      <c r="O36" s="34">
        <f>IF(IF(O$33&gt;M36,(M36-L36)*N36,(O$33-L36)*N36)&gt;0,IF(O$33&gt;M36,(M36-L36)*N36,(O$33-L36)*N36),0)</f>
        <v>0</v>
      </c>
      <c r="P36" s="11">
        <f>IF(IF(P$33&gt;M36,(M36-L36)*N36,(P$33-L36)*N36)&gt;0,IF(P$33&gt;M36,(M36-L36)*N36,(P$33-L36)*N36),0)</f>
        <v>0</v>
      </c>
    </row>
    <row r="37" spans="3:16" x14ac:dyDescent="0.2">
      <c r="F37" s="60">
        <f>'Tax Tables'!B28</f>
        <v>0</v>
      </c>
      <c r="G37" s="65">
        <f>'Tax Tables'!C28</f>
        <v>0</v>
      </c>
      <c r="H37" s="40">
        <f>'Tax Tables'!D28</f>
        <v>0</v>
      </c>
      <c r="I37" s="34">
        <f>IF(IF(I$33&gt;G37,(G37-F37)*H37,(I$33-F37)*H37)&gt;0,IF(I$33&gt;G37,(G37-F37)*H37,(I$33-F37)*H37),0)</f>
        <v>0</v>
      </c>
      <c r="J37" s="11">
        <f>IF(IF(J$33&gt;G37,(G37-F37)*H37,(J$33-F37)*H37)&gt;0,IF(J$33&gt;G37,(G37-F37)*H37,(J$33-F37)*H37),0)</f>
        <v>0</v>
      </c>
      <c r="K37" s="97"/>
      <c r="L37" s="60">
        <f>'Tax Tables'!F28</f>
        <v>0</v>
      </c>
      <c r="M37" s="65">
        <f>'Tax Tables'!G28</f>
        <v>0</v>
      </c>
      <c r="N37" s="29">
        <f>'Tax Tables'!H28</f>
        <v>0</v>
      </c>
      <c r="O37" s="34">
        <f>IF(IF(O$33&gt;M37,(M37-L37)*N37,(O$33-L37)*N37)&gt;0,IF(O$33&gt;M37,(M37-L37)*N37,(O$33-L37)*N37),0)</f>
        <v>0</v>
      </c>
      <c r="P37" s="11">
        <f>IF(IF(P$33&gt;M37,(M37-L37)*N37,(P$33-L37)*N37)&gt;0,IF(P$33&gt;M37,(M37-L37)*N37,(P$33-L37)*N37),0)</f>
        <v>0</v>
      </c>
    </row>
    <row r="38" spans="3:16" x14ac:dyDescent="0.2">
      <c r="F38" s="60">
        <f>'Tax Tables'!B29</f>
        <v>0</v>
      </c>
      <c r="G38" s="65">
        <f>'Tax Tables'!C29</f>
        <v>0</v>
      </c>
      <c r="H38" s="40">
        <f>'Tax Tables'!D29</f>
        <v>0</v>
      </c>
      <c r="I38" s="34">
        <f>IF(IF(I$33&gt;G38,(G38-F38)*H38,(I$33-F38)*H38)&gt;0,IF(I$33&gt;G38,(G38-F38)*H38,(I$33-F38)*H38),0)</f>
        <v>0</v>
      </c>
      <c r="J38" s="11">
        <f>IF(IF(J$33&gt;G38,(G38-F38)*H38,(J$33-F38)*H38)&gt;0,IF(J$33&gt;G38,(G38-F38)*H38,(J$33-F38)*H38),0)</f>
        <v>0</v>
      </c>
      <c r="K38" s="97"/>
      <c r="L38" s="60">
        <f>'Tax Tables'!F29</f>
        <v>0</v>
      </c>
      <c r="M38" s="65">
        <f>'Tax Tables'!G29</f>
        <v>0</v>
      </c>
      <c r="N38" s="29">
        <f>'Tax Tables'!H29</f>
        <v>0</v>
      </c>
      <c r="O38" s="34">
        <f>IF(IF(O$33&gt;M38,(M38-L38)*N38,(O$33-L38)*N38)&gt;0,IF(O$33&gt;M38,(M38-L38)*N38,(O$33-L38)*N38),0)</f>
        <v>0</v>
      </c>
      <c r="P38" s="11">
        <f>IF(IF(P$33&gt;M38,(M38-L38)*N38,(P$33-L38)*N38)&gt;0,IF(P$33&gt;M38,(M38-L38)*N38,(P$33-L38)*N38),0)</f>
        <v>0</v>
      </c>
    </row>
    <row r="39" spans="3:16" ht="16" thickBot="1" x14ac:dyDescent="0.25">
      <c r="D39" s="18"/>
      <c r="F39" s="91">
        <f>'Tax Tables'!B30</f>
        <v>0</v>
      </c>
      <c r="G39" s="92">
        <f>'Tax Tables'!C30</f>
        <v>0</v>
      </c>
      <c r="H39" s="93">
        <f>'Tax Tables'!D30</f>
        <v>0</v>
      </c>
      <c r="I39" s="35">
        <f>IF(I33&gt;=F39,(I33-F39)*H39,0)</f>
        <v>0</v>
      </c>
      <c r="J39" s="14">
        <f>IF(J33&gt;=F39,(J33-F39)*H39,0)</f>
        <v>0</v>
      </c>
      <c r="K39" s="97"/>
      <c r="L39" s="91">
        <f>'Tax Tables'!F30</f>
        <v>0</v>
      </c>
      <c r="M39" s="92">
        <f>'Tax Tables'!G30</f>
        <v>0</v>
      </c>
      <c r="N39" s="94">
        <f>'Tax Tables'!H30</f>
        <v>0</v>
      </c>
      <c r="O39" s="35">
        <f>IF(O33&gt;=L39,(O33-L39)*N39,0)</f>
        <v>0</v>
      </c>
      <c r="P39" s="14">
        <f>IF(P33&gt;=L39,(P33-L39)*N39,0)</f>
        <v>0</v>
      </c>
    </row>
    <row r="40" spans="3:16" ht="16" thickBot="1" x14ac:dyDescent="0.25">
      <c r="D40" s="4"/>
      <c r="E40" s="1"/>
      <c r="F40" s="96"/>
      <c r="G40" s="97"/>
      <c r="H40" s="97"/>
      <c r="I40" s="97"/>
      <c r="J40" s="97"/>
      <c r="K40" s="97"/>
      <c r="L40" s="97"/>
      <c r="M40" s="97"/>
      <c r="N40" s="97"/>
      <c r="O40" s="97"/>
      <c r="P40" s="98"/>
    </row>
    <row r="41" spans="3:16" ht="16" thickBot="1" x14ac:dyDescent="0.25">
      <c r="E41" s="23"/>
      <c r="F41" s="96"/>
      <c r="G41" s="97"/>
      <c r="H41" s="422" t="s">
        <v>26</v>
      </c>
      <c r="I41" s="423"/>
      <c r="J41" s="104" t="s">
        <v>38</v>
      </c>
      <c r="K41" s="96"/>
      <c r="L41" s="97"/>
      <c r="M41" s="97"/>
      <c r="N41" s="422" t="s">
        <v>26</v>
      </c>
      <c r="O41" s="423"/>
      <c r="P41" s="104" t="s">
        <v>38</v>
      </c>
    </row>
    <row r="42" spans="3:16" ht="16" thickBot="1" x14ac:dyDescent="0.25">
      <c r="F42" s="101"/>
      <c r="G42" s="100"/>
      <c r="H42" s="106">
        <f>SUM(I34:I39)</f>
        <v>12000</v>
      </c>
      <c r="I42" s="106">
        <f>SUM(J34:J39)</f>
        <v>-8000</v>
      </c>
      <c r="J42" s="107">
        <f>H42-I42</f>
        <v>20000</v>
      </c>
      <c r="K42" s="101"/>
      <c r="L42" s="100"/>
      <c r="M42" s="100"/>
      <c r="N42" s="106">
        <f>SUM(O34:O39)</f>
        <v>12000</v>
      </c>
      <c r="O42" s="106">
        <f>SUM(P34:P39)</f>
        <v>12000</v>
      </c>
      <c r="P42" s="107">
        <f>N42-O42</f>
        <v>0</v>
      </c>
    </row>
    <row r="43" spans="3:16" ht="16" thickBot="1" x14ac:dyDescent="0.25">
      <c r="C43" s="4"/>
    </row>
    <row r="44" spans="3:16" x14ac:dyDescent="0.2">
      <c r="C44" s="6"/>
      <c r="G44" s="181" t="s">
        <v>90</v>
      </c>
      <c r="H44" s="175">
        <f>'Tax Tables'!$C$34</f>
        <v>3.7999999999999999E-2</v>
      </c>
    </row>
    <row r="45" spans="3:16" ht="16" thickBot="1" x14ac:dyDescent="0.25">
      <c r="C45" s="8"/>
      <c r="G45" s="174">
        <f>SUM(C6:C9)+C11</f>
        <v>0</v>
      </c>
      <c r="H45" s="140">
        <f>IF(C13-C20-IF(C3="Married-Joint",250000,200000)&gt;G45,(C13-C20-IF(C3="Married-Joint",250000,200000))*H44, G45*H44)</f>
        <v>0</v>
      </c>
    </row>
    <row r="52" spans="2:3" x14ac:dyDescent="0.2">
      <c r="C52" s="18"/>
    </row>
    <row r="53" spans="2:3" x14ac:dyDescent="0.2">
      <c r="B53" s="4"/>
      <c r="C53" s="4"/>
    </row>
  </sheetData>
  <mergeCells count="15">
    <mergeCell ref="F32:H32"/>
    <mergeCell ref="L32:N32"/>
    <mergeCell ref="H41:I41"/>
    <mergeCell ref="N41:O41"/>
    <mergeCell ref="F21:H21"/>
    <mergeCell ref="L21:N21"/>
    <mergeCell ref="H27:I27"/>
    <mergeCell ref="N27:O27"/>
    <mergeCell ref="F6:H6"/>
    <mergeCell ref="L6:N6"/>
    <mergeCell ref="F4:P4"/>
    <mergeCell ref="F30:P30"/>
    <mergeCell ref="N16:O16"/>
    <mergeCell ref="H16:I16"/>
    <mergeCell ref="F19:P1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ED2F-55A3-0A4F-BACA-ED6176F94791}">
  <dimension ref="B1:P53"/>
  <sheetViews>
    <sheetView topLeftCell="B15" zoomScale="110" zoomScaleNormal="110" workbookViewId="0">
      <selection activeCell="H46" sqref="H46"/>
    </sheetView>
  </sheetViews>
  <sheetFormatPr baseColWidth="10" defaultColWidth="8.83203125" defaultRowHeight="15" x14ac:dyDescent="0.2"/>
  <cols>
    <col min="2" max="2" width="24.5" bestFit="1" customWidth="1"/>
    <col min="3" max="3" width="15.5" bestFit="1" customWidth="1"/>
    <col min="4" max="4" width="19.5" bestFit="1" customWidth="1"/>
    <col min="5" max="5" width="14.33203125" bestFit="1" customWidth="1"/>
    <col min="6" max="6" width="12.5" bestFit="1" customWidth="1"/>
    <col min="7" max="7" width="16.6640625" customWidth="1"/>
    <col min="8" max="8" width="14.33203125" bestFit="1" customWidth="1"/>
    <col min="9" max="9" width="16.83203125" bestFit="1" customWidth="1"/>
    <col min="10" max="10" width="18.83203125" customWidth="1"/>
    <col min="11" max="11" width="14.33203125" bestFit="1" customWidth="1"/>
    <col min="12" max="12" width="12.5" bestFit="1" customWidth="1"/>
    <col min="13" max="13" width="16.83203125" customWidth="1"/>
    <col min="14" max="14" width="12.5" bestFit="1" customWidth="1"/>
    <col min="15" max="15" width="13.83203125" bestFit="1" customWidth="1"/>
    <col min="16" max="16" width="16.83203125" customWidth="1"/>
  </cols>
  <sheetData>
    <row r="1" spans="2:16" ht="16" thickBot="1" x14ac:dyDescent="0.25"/>
    <row r="2" spans="2:16" ht="16" thickBot="1" x14ac:dyDescent="0.25">
      <c r="B2" s="74"/>
      <c r="C2" s="75"/>
      <c r="D2" s="57" t="s">
        <v>29</v>
      </c>
    </row>
    <row r="3" spans="2:16" ht="16" thickBot="1" x14ac:dyDescent="0.25">
      <c r="B3" s="27" t="s">
        <v>13</v>
      </c>
      <c r="C3" s="148" t="str">
        <f>'Strategy comparison'!C4</f>
        <v>Married-Joint</v>
      </c>
      <c r="D3" s="58" t="s">
        <v>0</v>
      </c>
    </row>
    <row r="4" spans="2:16" ht="16" thickBot="1" x14ac:dyDescent="0.25">
      <c r="B4" s="27" t="s">
        <v>14</v>
      </c>
      <c r="C4" s="89">
        <f>'Strategy comparison'!C5</f>
        <v>400000</v>
      </c>
      <c r="D4" s="42">
        <v>0.5</v>
      </c>
      <c r="F4" s="437" t="s">
        <v>106</v>
      </c>
      <c r="G4" s="438"/>
      <c r="H4" s="438"/>
      <c r="I4" s="438"/>
      <c r="J4" s="438"/>
      <c r="K4" s="438"/>
      <c r="L4" s="438"/>
      <c r="M4" s="438"/>
      <c r="N4" s="438"/>
      <c r="O4" s="438"/>
      <c r="P4" s="439"/>
    </row>
    <row r="5" spans="2:16" ht="16" thickBot="1" x14ac:dyDescent="0.25">
      <c r="B5" s="27" t="s">
        <v>15</v>
      </c>
      <c r="C5" s="52">
        <f>'Strategy comparison'!C6-'DB comparison'!C2</f>
        <v>0</v>
      </c>
      <c r="D5" s="61"/>
      <c r="F5" s="96"/>
      <c r="G5" s="97"/>
      <c r="H5" s="97"/>
      <c r="I5" s="97"/>
      <c r="J5" s="97"/>
      <c r="K5" s="97"/>
      <c r="L5" s="97"/>
      <c r="M5" s="97"/>
      <c r="N5" s="97"/>
      <c r="O5" s="97"/>
      <c r="P5" s="98"/>
    </row>
    <row r="6" spans="2:16" ht="16" thickBot="1" x14ac:dyDescent="0.25">
      <c r="B6" s="27" t="s">
        <v>16</v>
      </c>
      <c r="C6" s="52">
        <f>'Strategy comparison'!C7</f>
        <v>0</v>
      </c>
      <c r="D6" s="62" t="s">
        <v>72</v>
      </c>
      <c r="F6" s="419" t="s">
        <v>17</v>
      </c>
      <c r="G6" s="420"/>
      <c r="H6" s="421"/>
      <c r="I6" s="7" t="s">
        <v>100</v>
      </c>
      <c r="J6" s="7" t="s">
        <v>103</v>
      </c>
      <c r="L6" s="419" t="s">
        <v>19</v>
      </c>
      <c r="M6" s="420"/>
      <c r="N6" s="421"/>
      <c r="O6" s="7" t="s">
        <v>100</v>
      </c>
      <c r="P6" s="7" t="s">
        <v>103</v>
      </c>
    </row>
    <row r="7" spans="2:16" ht="16" thickBot="1" x14ac:dyDescent="0.25">
      <c r="B7" s="27" t="s">
        <v>96</v>
      </c>
      <c r="C7" s="176">
        <f>'Strategy comparison'!$C$9</f>
        <v>0</v>
      </c>
      <c r="D7" s="63">
        <v>5</v>
      </c>
      <c r="F7" s="116"/>
      <c r="G7" s="117"/>
      <c r="H7" s="82"/>
      <c r="I7" s="69">
        <f>C10</f>
        <v>400000</v>
      </c>
      <c r="J7" s="69">
        <f>C10-MIN(C10,C20)</f>
        <v>200000</v>
      </c>
      <c r="K7" s="97"/>
      <c r="L7" s="116"/>
      <c r="M7" s="117"/>
      <c r="N7" s="82"/>
      <c r="O7" s="39">
        <f>I7</f>
        <v>400000</v>
      </c>
      <c r="P7" s="95">
        <f>J7</f>
        <v>200000</v>
      </c>
    </row>
    <row r="8" spans="2:16" x14ac:dyDescent="0.2">
      <c r="B8" s="27" t="s">
        <v>98</v>
      </c>
      <c r="C8" s="176">
        <f>'Strategy comparison'!$C$10</f>
        <v>0</v>
      </c>
      <c r="D8" s="2" t="s">
        <v>32</v>
      </c>
      <c r="F8" s="34">
        <f>'Tax Tables'!B6</f>
        <v>0</v>
      </c>
      <c r="G8" s="44">
        <f>'Tax Tables'!C6</f>
        <v>24800</v>
      </c>
      <c r="H8" s="10">
        <f>'Tax Tables'!D6</f>
        <v>0.1</v>
      </c>
      <c r="I8" s="38">
        <f t="shared" ref="I8:I13" si="0">IF(IF(I$7&gt;G8,(G8-F8)*H8,(I$7-F8)*H8)&gt;0,IF(I$7&gt;G8,(G8-F8)*H8,(I$7-F8)*H8),0)</f>
        <v>2480</v>
      </c>
      <c r="J8" s="38">
        <f t="shared" ref="J8:J13" si="1">IF(IF(J$7&gt;G8,(G8-F8)*H8,(J$7-F8)*H8)&gt;0,IF(J$7&gt;G8,(G8-F8)*H8,(J$7-F8)*H8),0)</f>
        <v>2480</v>
      </c>
      <c r="K8" s="97"/>
      <c r="L8" s="34">
        <f>'Tax Tables'!F6</f>
        <v>0</v>
      </c>
      <c r="M8" s="44">
        <f>'Tax Tables'!G6</f>
        <v>12400</v>
      </c>
      <c r="N8" s="10">
        <f>'Tax Tables'!H6</f>
        <v>0.1</v>
      </c>
      <c r="O8" s="38">
        <f t="shared" ref="O8:O13" si="2">IF(IF(O$7&gt;M8,(M8-L8)*N8,(O$7-L8)*N8)&gt;0,IF(O$7&gt;M8,(M8-L8)*N8,(O$7-L8)*N8),0)</f>
        <v>1240</v>
      </c>
      <c r="P8" s="38">
        <f t="shared" ref="P8:P13" si="3">IF(IF(P$7&gt;M8,(M8-L8)*N8,(P$7-L8)*N8)&gt;0,IF(P$7&gt;M8,(M8-L8)*N8,(P$7-L8)*N8),0)</f>
        <v>1240</v>
      </c>
    </row>
    <row r="9" spans="2:16" x14ac:dyDescent="0.2">
      <c r="B9" s="27" t="s">
        <v>97</v>
      </c>
      <c r="C9" s="176">
        <f>'Strategy comparison'!$C$11</f>
        <v>0</v>
      </c>
      <c r="D9" s="3" t="s">
        <v>34</v>
      </c>
      <c r="F9" s="34">
        <f>'Tax Tables'!B7</f>
        <v>24801</v>
      </c>
      <c r="G9" s="44">
        <f>'Tax Tables'!C7</f>
        <v>100800</v>
      </c>
      <c r="H9" s="10">
        <f>'Tax Tables'!D7</f>
        <v>0.12</v>
      </c>
      <c r="I9" s="11">
        <f t="shared" si="0"/>
        <v>9119.8799999999992</v>
      </c>
      <c r="J9" s="11">
        <f t="shared" si="1"/>
        <v>9119.8799999999992</v>
      </c>
      <c r="K9" s="97"/>
      <c r="L9" s="34">
        <f>'Tax Tables'!F7</f>
        <v>12401</v>
      </c>
      <c r="M9" s="44">
        <f>'Tax Tables'!G7</f>
        <v>50400</v>
      </c>
      <c r="N9" s="10">
        <f>'Tax Tables'!H7</f>
        <v>0.12</v>
      </c>
      <c r="O9" s="11">
        <f t="shared" si="2"/>
        <v>4559.88</v>
      </c>
      <c r="P9" s="11">
        <f t="shared" si="3"/>
        <v>4559.88</v>
      </c>
    </row>
    <row r="10" spans="2:16" ht="16" thickBot="1" x14ac:dyDescent="0.25">
      <c r="B10" s="27" t="s">
        <v>100</v>
      </c>
      <c r="C10" s="49">
        <f>SUM(C4:C7)+C9</f>
        <v>400000</v>
      </c>
      <c r="D10" s="5">
        <f>C20/D7</f>
        <v>40000</v>
      </c>
      <c r="F10" s="34">
        <f>'Tax Tables'!B8</f>
        <v>100801</v>
      </c>
      <c r="G10" s="44">
        <f>'Tax Tables'!C8</f>
        <v>211400</v>
      </c>
      <c r="H10" s="10">
        <f>'Tax Tables'!D8</f>
        <v>0.22</v>
      </c>
      <c r="I10" s="11">
        <f t="shared" si="0"/>
        <v>24331.78</v>
      </c>
      <c r="J10" s="11">
        <f t="shared" si="1"/>
        <v>21823.78</v>
      </c>
      <c r="K10" s="97"/>
      <c r="L10" s="34">
        <f>'Tax Tables'!F8</f>
        <v>50401</v>
      </c>
      <c r="M10" s="44">
        <f>'Tax Tables'!G8</f>
        <v>105700</v>
      </c>
      <c r="N10" s="10">
        <f>'Tax Tables'!H8</f>
        <v>0.22</v>
      </c>
      <c r="O10" s="11">
        <f t="shared" si="2"/>
        <v>12165.78</v>
      </c>
      <c r="P10" s="11">
        <f t="shared" si="3"/>
        <v>12165.78</v>
      </c>
    </row>
    <row r="11" spans="2:16" x14ac:dyDescent="0.2">
      <c r="B11" s="27" t="s">
        <v>20</v>
      </c>
      <c r="C11" s="49">
        <f>'Strategy comparison'!C8</f>
        <v>0</v>
      </c>
      <c r="D11" s="3" t="s">
        <v>35</v>
      </c>
      <c r="F11" s="34">
        <f>'Tax Tables'!B9</f>
        <v>211401</v>
      </c>
      <c r="G11" s="44">
        <f>'Tax Tables'!C9</f>
        <v>403550</v>
      </c>
      <c r="H11" s="10">
        <f>'Tax Tables'!D9</f>
        <v>0.24</v>
      </c>
      <c r="I11" s="11">
        <f t="shared" si="0"/>
        <v>45263.759999999995</v>
      </c>
      <c r="J11" s="11">
        <f t="shared" si="1"/>
        <v>0</v>
      </c>
      <c r="K11" s="97"/>
      <c r="L11" s="34">
        <f>'Tax Tables'!F9</f>
        <v>105701</v>
      </c>
      <c r="M11" s="44">
        <f>'Tax Tables'!G9</f>
        <v>201775</v>
      </c>
      <c r="N11" s="10">
        <f>'Tax Tables'!H9</f>
        <v>0.24</v>
      </c>
      <c r="O11" s="11">
        <f t="shared" si="2"/>
        <v>23057.759999999998</v>
      </c>
      <c r="P11" s="11">
        <f t="shared" si="3"/>
        <v>22631.759999999998</v>
      </c>
    </row>
    <row r="12" spans="2:16" ht="16" thickBot="1" x14ac:dyDescent="0.25">
      <c r="B12" s="27" t="s">
        <v>102</v>
      </c>
      <c r="C12" s="49">
        <f>C11+C8</f>
        <v>0</v>
      </c>
      <c r="D12" s="147">
        <v>0</v>
      </c>
      <c r="F12" s="34">
        <f>'Tax Tables'!B10</f>
        <v>403551</v>
      </c>
      <c r="G12" s="44">
        <f>'Tax Tables'!C10</f>
        <v>512450</v>
      </c>
      <c r="H12" s="10">
        <f>'Tax Tables'!D10</f>
        <v>0.32</v>
      </c>
      <c r="I12" s="11">
        <f t="shared" si="0"/>
        <v>0</v>
      </c>
      <c r="J12" s="11">
        <f t="shared" si="1"/>
        <v>0</v>
      </c>
      <c r="K12" s="97"/>
      <c r="L12" s="34">
        <f>'Tax Tables'!F10</f>
        <v>201776</v>
      </c>
      <c r="M12" s="44">
        <f>'Tax Tables'!G10</f>
        <v>256225</v>
      </c>
      <c r="N12" s="10">
        <f>'Tax Tables'!H10</f>
        <v>0.32</v>
      </c>
      <c r="O12" s="11">
        <f t="shared" si="2"/>
        <v>17423.68</v>
      </c>
      <c r="P12" s="11">
        <f t="shared" si="3"/>
        <v>0</v>
      </c>
    </row>
    <row r="13" spans="2:16" x14ac:dyDescent="0.2">
      <c r="B13" s="27" t="s">
        <v>18</v>
      </c>
      <c r="C13" s="49">
        <f>C10+C12</f>
        <v>400000</v>
      </c>
      <c r="D13" s="68" t="s">
        <v>36</v>
      </c>
      <c r="F13" s="34">
        <f>'Tax Tables'!B11</f>
        <v>512451</v>
      </c>
      <c r="G13" s="44">
        <f>'Tax Tables'!C11</f>
        <v>768700</v>
      </c>
      <c r="H13" s="10">
        <f>'Tax Tables'!D11</f>
        <v>0.35</v>
      </c>
      <c r="I13" s="11">
        <f t="shared" si="0"/>
        <v>0</v>
      </c>
      <c r="J13" s="11">
        <f t="shared" si="1"/>
        <v>0</v>
      </c>
      <c r="K13" s="97"/>
      <c r="L13" s="34">
        <f>'Tax Tables'!F11</f>
        <v>256226</v>
      </c>
      <c r="M13" s="44">
        <f>'Tax Tables'!G11</f>
        <v>640600</v>
      </c>
      <c r="N13" s="10">
        <f>'Tax Tables'!H11</f>
        <v>0.35</v>
      </c>
      <c r="O13" s="11">
        <f t="shared" si="2"/>
        <v>50320.899999999994</v>
      </c>
      <c r="P13" s="11">
        <f t="shared" si="3"/>
        <v>0</v>
      </c>
    </row>
    <row r="14" spans="2:16" ht="16" thickBot="1" x14ac:dyDescent="0.25">
      <c r="B14" s="28" t="s">
        <v>21</v>
      </c>
      <c r="C14" s="49">
        <f>IF(C3="Single",N17,IF(C3="Married-Joint",H17,"Filing Status?"))</f>
        <v>81195.419999999984</v>
      </c>
      <c r="D14" s="129">
        <f>D10*(1-D12)</f>
        <v>40000</v>
      </c>
      <c r="E14" s="6"/>
      <c r="F14" s="35">
        <f>'Tax Tables'!B12</f>
        <v>768701</v>
      </c>
      <c r="G14" s="168">
        <f>'Tax Tables'!C12</f>
        <v>99999999999</v>
      </c>
      <c r="H14" s="13">
        <f>'Tax Tables'!D12</f>
        <v>0.37</v>
      </c>
      <c r="I14" s="14">
        <f>IF(I7&gt;=F14,(I7-F14)*H14,0)</f>
        <v>0</v>
      </c>
      <c r="J14" s="14">
        <f>IF(J7&gt;=F14,(J7-F14)*H14,0)</f>
        <v>0</v>
      </c>
      <c r="L14" s="35">
        <f>'Tax Tables'!F12</f>
        <v>640601</v>
      </c>
      <c r="M14" s="168">
        <f>'Tax Tables'!G12</f>
        <v>99999999999</v>
      </c>
      <c r="N14" s="13">
        <f>'Tax Tables'!H12</f>
        <v>0.37</v>
      </c>
      <c r="O14" s="14">
        <f>IF(O7&gt;=L14,(O7-L14)*N14,0)</f>
        <v>0</v>
      </c>
      <c r="P14" s="14">
        <f>IF(P7&gt;=L14,(P7-L14)*N14,0)</f>
        <v>0</v>
      </c>
    </row>
    <row r="15" spans="2:16" ht="16" thickBot="1" x14ac:dyDescent="0.25">
      <c r="B15" s="28" t="s">
        <v>23</v>
      </c>
      <c r="C15" s="49">
        <f>IF(C3="Single",N28,IF(C3="Married-Joint",H28,"Filing Status?"))</f>
        <v>0</v>
      </c>
      <c r="D15" s="68" t="s">
        <v>7</v>
      </c>
      <c r="E15" s="23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2:16" ht="16" thickBot="1" x14ac:dyDescent="0.25">
      <c r="B16" s="28" t="s">
        <v>22</v>
      </c>
      <c r="C16" s="52">
        <f>IF(C3="Single",N42,IF(C3="Married-Joint",H42,"Filing Status?"))</f>
        <v>12000</v>
      </c>
      <c r="D16" s="90">
        <f>'Strategy comparison'!C12</f>
        <v>0</v>
      </c>
      <c r="E16" s="4"/>
      <c r="F16" s="103"/>
      <c r="G16" s="97"/>
      <c r="H16" s="422" t="s">
        <v>26</v>
      </c>
      <c r="I16" s="423"/>
      <c r="J16" s="104" t="s">
        <v>38</v>
      </c>
      <c r="K16" s="96"/>
      <c r="L16" s="97"/>
      <c r="M16" s="97"/>
      <c r="N16" s="422" t="s">
        <v>26</v>
      </c>
      <c r="O16" s="423"/>
      <c r="P16" s="104" t="s">
        <v>38</v>
      </c>
    </row>
    <row r="17" spans="2:16" ht="16" thickBot="1" x14ac:dyDescent="0.25">
      <c r="B17" s="27" t="s">
        <v>24</v>
      </c>
      <c r="C17" s="50">
        <f>SUM(C14:C16)+H45</f>
        <v>93195.419999999984</v>
      </c>
      <c r="D17" s="3" t="s">
        <v>40</v>
      </c>
      <c r="F17" s="105"/>
      <c r="G17" s="100"/>
      <c r="H17" s="106">
        <f>SUM(I8:I14)</f>
        <v>81195.419999999984</v>
      </c>
      <c r="I17" s="106">
        <f>SUM(J8:J14)</f>
        <v>33423.659999999996</v>
      </c>
      <c r="J17" s="107">
        <f>H17-I17</f>
        <v>47771.759999999987</v>
      </c>
      <c r="K17" s="101"/>
      <c r="L17" s="100"/>
      <c r="M17" s="100"/>
      <c r="N17" s="106">
        <f>SUM(O8:O14)</f>
        <v>108768</v>
      </c>
      <c r="O17" s="106">
        <f>SUM(P8:P14)</f>
        <v>40597.42</v>
      </c>
      <c r="P17" s="107">
        <f>N17-O17</f>
        <v>68170.58</v>
      </c>
    </row>
    <row r="18" spans="2:16" ht="16" thickBot="1" x14ac:dyDescent="0.25">
      <c r="B18" s="26" t="s">
        <v>25</v>
      </c>
      <c r="C18" s="59">
        <f>C17/SUM(C10:C11)</f>
        <v>0.23298854999999996</v>
      </c>
      <c r="D18" s="5">
        <f>SUM(D14,D16)</f>
        <v>40000</v>
      </c>
      <c r="E18" s="16"/>
      <c r="F18" s="6"/>
    </row>
    <row r="19" spans="2:16" ht="16" thickBot="1" x14ac:dyDescent="0.25">
      <c r="B19" s="26"/>
      <c r="C19" s="55"/>
      <c r="F19" s="444" t="s">
        <v>105</v>
      </c>
      <c r="G19" s="445"/>
      <c r="H19" s="445"/>
      <c r="I19" s="445"/>
      <c r="J19" s="445"/>
      <c r="K19" s="445"/>
      <c r="L19" s="445"/>
      <c r="M19" s="445"/>
      <c r="N19" s="445"/>
      <c r="O19" s="445"/>
      <c r="P19" s="446"/>
    </row>
    <row r="20" spans="2:16" ht="16" thickBot="1" x14ac:dyDescent="0.25">
      <c r="B20" s="26" t="s">
        <v>37</v>
      </c>
      <c r="C20" s="51">
        <f>IF('DB comparison'!I5="",(I7+I22)*D4,'DB comparison'!I5)</f>
        <v>200000</v>
      </c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8"/>
    </row>
    <row r="21" spans="2:16" ht="16" thickBot="1" x14ac:dyDescent="0.25">
      <c r="B21" s="26" t="s">
        <v>39</v>
      </c>
      <c r="C21" s="51">
        <f>C13-C20</f>
        <v>200000</v>
      </c>
      <c r="F21" s="419" t="s">
        <v>17</v>
      </c>
      <c r="G21" s="420"/>
      <c r="H21" s="421"/>
      <c r="I21" s="19" t="s">
        <v>108</v>
      </c>
      <c r="J21" s="187" t="s">
        <v>109</v>
      </c>
      <c r="K21" s="97"/>
      <c r="L21" s="419" t="s">
        <v>19</v>
      </c>
      <c r="M21" s="420"/>
      <c r="N21" s="421"/>
      <c r="O21" s="19" t="s">
        <v>108</v>
      </c>
      <c r="P21" s="187" t="s">
        <v>109</v>
      </c>
    </row>
    <row r="22" spans="2:16" ht="16" thickBot="1" x14ac:dyDescent="0.25">
      <c r="B22" s="27" t="s">
        <v>41</v>
      </c>
      <c r="C22" s="52">
        <f>IF(C3="Single",O17,IF(C3="Married-Joint",I17,"Filing Status?"))</f>
        <v>33423.659999999996</v>
      </c>
      <c r="F22" s="118"/>
      <c r="G22" s="119"/>
      <c r="H22" s="120"/>
      <c r="I22" s="73">
        <f>C12</f>
        <v>0</v>
      </c>
      <c r="J22" s="73">
        <f>I22-IF(C20&gt;I7,C20-I7,0)</f>
        <v>0</v>
      </c>
      <c r="K22" s="97"/>
      <c r="L22" s="116"/>
      <c r="M22" s="117"/>
      <c r="N22" s="82"/>
      <c r="O22" s="73">
        <f>C12</f>
        <v>0</v>
      </c>
      <c r="P22" s="73">
        <f>O22</f>
        <v>0</v>
      </c>
    </row>
    <row r="23" spans="2:16" ht="16" thickBot="1" x14ac:dyDescent="0.25">
      <c r="B23" s="27" t="s">
        <v>42</v>
      </c>
      <c r="C23" s="56">
        <f>IF(C3="Single",N42,IF(C3="Married-Joint",H42,"Filing Status?"))</f>
        <v>12000</v>
      </c>
      <c r="E23" s="4"/>
      <c r="F23" s="34">
        <f>'Tax Tables'!B18</f>
        <v>0</v>
      </c>
      <c r="G23" s="44">
        <f>'Tax Tables'!C18</f>
        <v>98900</v>
      </c>
      <c r="H23" s="10">
        <f>'Tax Tables'!D18</f>
        <v>0</v>
      </c>
      <c r="I23" s="81">
        <f t="shared" ref="I23:J25" si="4">IF(I$22&gt;$G23,($G23-$F23)*$H23,MAX((I$22-$F23),0)*$H23)</f>
        <v>0</v>
      </c>
      <c r="J23" s="81">
        <f t="shared" si="4"/>
        <v>0</v>
      </c>
      <c r="K23" s="97"/>
      <c r="L23" s="34">
        <f>'Tax Tables'!F18</f>
        <v>0</v>
      </c>
      <c r="M23" s="44">
        <f>'Tax Tables'!G18</f>
        <v>49450</v>
      </c>
      <c r="N23" s="10">
        <f>'Tax Tables'!H18</f>
        <v>0</v>
      </c>
      <c r="O23" s="81">
        <f t="shared" ref="O23:P25" si="5">IF(O$22&gt;$M23,($M23-$L23)*$N23,MAX((O$22-$L23),0)*$N23)</f>
        <v>0</v>
      </c>
      <c r="P23" s="81">
        <f t="shared" si="5"/>
        <v>0</v>
      </c>
    </row>
    <row r="24" spans="2:16" ht="16" thickBot="1" x14ac:dyDescent="0.25">
      <c r="B24" s="27" t="s">
        <v>23</v>
      </c>
      <c r="C24" s="56">
        <f>IF(C3="Single",O28,IF(C3="Married-Joint",I28,"Filing Status?"))</f>
        <v>0</v>
      </c>
      <c r="E24" s="6"/>
      <c r="F24" s="34">
        <f>'Tax Tables'!B19</f>
        <v>98901</v>
      </c>
      <c r="G24" s="44">
        <f>'Tax Tables'!C19</f>
        <v>613700</v>
      </c>
      <c r="H24" s="10">
        <f>'Tax Tables'!D19</f>
        <v>0.15</v>
      </c>
      <c r="I24" s="81">
        <f t="shared" si="4"/>
        <v>0</v>
      </c>
      <c r="J24" s="81">
        <f t="shared" si="4"/>
        <v>0</v>
      </c>
      <c r="K24" s="97"/>
      <c r="L24" s="34">
        <f>'Tax Tables'!F19</f>
        <v>49451</v>
      </c>
      <c r="M24" s="44">
        <f>'Tax Tables'!G19</f>
        <v>545500</v>
      </c>
      <c r="N24" s="10">
        <f>'Tax Tables'!H19</f>
        <v>0.15</v>
      </c>
      <c r="O24" s="81">
        <f t="shared" si="5"/>
        <v>0</v>
      </c>
      <c r="P24" s="81">
        <f t="shared" si="5"/>
        <v>0</v>
      </c>
    </row>
    <row r="25" spans="2:16" ht="16" thickBot="1" x14ac:dyDescent="0.25">
      <c r="B25" s="27" t="s">
        <v>90</v>
      </c>
      <c r="C25" s="177">
        <f>H45</f>
        <v>0</v>
      </c>
      <c r="D25" s="6"/>
      <c r="E25" s="6"/>
      <c r="F25" s="35">
        <f>'Tax Tables'!B20</f>
        <v>613701</v>
      </c>
      <c r="G25" s="45">
        <f>'Tax Tables'!C20</f>
        <v>99999999999</v>
      </c>
      <c r="H25" s="13">
        <f>'Tax Tables'!D20</f>
        <v>0.2</v>
      </c>
      <c r="I25" s="81">
        <f t="shared" si="4"/>
        <v>0</v>
      </c>
      <c r="J25" s="81">
        <f t="shared" si="4"/>
        <v>0</v>
      </c>
      <c r="K25" s="97"/>
      <c r="L25" s="35">
        <f>'Tax Tables'!F20</f>
        <v>545501</v>
      </c>
      <c r="M25" s="45">
        <f>'Tax Tables'!G20</f>
        <v>99999999999</v>
      </c>
      <c r="N25" s="13">
        <f>'Tax Tables'!H20</f>
        <v>0.2</v>
      </c>
      <c r="O25" s="81">
        <f t="shared" si="5"/>
        <v>0</v>
      </c>
      <c r="P25" s="81">
        <f t="shared" si="5"/>
        <v>0</v>
      </c>
    </row>
    <row r="26" spans="2:16" ht="16" thickBot="1" x14ac:dyDescent="0.25">
      <c r="B26" s="27" t="s">
        <v>43</v>
      </c>
      <c r="C26" s="50">
        <f>SUM(C22:C25)</f>
        <v>45423.659999999996</v>
      </c>
      <c r="D26" s="6"/>
      <c r="F26" s="96"/>
      <c r="G26" s="97"/>
      <c r="H26" s="97"/>
      <c r="I26" s="97"/>
      <c r="J26" s="102"/>
      <c r="K26" s="97"/>
      <c r="L26" s="97"/>
      <c r="M26" s="97"/>
      <c r="N26" s="97"/>
      <c r="O26" s="97"/>
      <c r="P26" s="108"/>
    </row>
    <row r="27" spans="2:16" ht="16" thickBot="1" x14ac:dyDescent="0.25">
      <c r="B27" s="26" t="s">
        <v>25</v>
      </c>
      <c r="C27" s="53">
        <f>(C26+C29)/C13</f>
        <v>0.21355915</v>
      </c>
      <c r="D27" s="6"/>
      <c r="E27" s="6"/>
      <c r="F27" s="96"/>
      <c r="G27" s="97"/>
      <c r="H27" s="422" t="s">
        <v>26</v>
      </c>
      <c r="I27" s="423"/>
      <c r="J27" s="109" t="s">
        <v>38</v>
      </c>
      <c r="K27" s="97"/>
      <c r="L27" s="97"/>
      <c r="M27" s="97"/>
      <c r="N27" s="422" t="s">
        <v>26</v>
      </c>
      <c r="O27" s="423"/>
      <c r="P27" s="109" t="s">
        <v>38</v>
      </c>
    </row>
    <row r="28" spans="2:16" ht="16" thickBot="1" x14ac:dyDescent="0.25">
      <c r="B28" s="27" t="s">
        <v>44</v>
      </c>
      <c r="C28" s="52">
        <f>C17-C26</f>
        <v>47771.759999999987</v>
      </c>
      <c r="D28" s="6"/>
      <c r="F28" s="101"/>
      <c r="G28" s="100"/>
      <c r="H28" s="110">
        <f>SUM(I23:I25)</f>
        <v>0</v>
      </c>
      <c r="I28" s="111">
        <f>SUM(J23:J25)</f>
        <v>0</v>
      </c>
      <c r="J28" s="112">
        <f>H28-I28</f>
        <v>0</v>
      </c>
      <c r="K28" s="101"/>
      <c r="L28" s="100"/>
      <c r="M28" s="100"/>
      <c r="N28" s="110">
        <f>SUM(O23:O25)</f>
        <v>0</v>
      </c>
      <c r="O28" s="111">
        <f>SUM(P23:P25)</f>
        <v>0</v>
      </c>
      <c r="P28" s="111">
        <f>N28-O28</f>
        <v>0</v>
      </c>
    </row>
    <row r="29" spans="2:16" ht="16" thickBot="1" x14ac:dyDescent="0.25">
      <c r="B29" s="47" t="s">
        <v>45</v>
      </c>
      <c r="C29" s="64">
        <f>D18</f>
        <v>40000</v>
      </c>
    </row>
    <row r="30" spans="2:16" ht="16" thickBot="1" x14ac:dyDescent="0.25">
      <c r="B30" s="24" t="s">
        <v>46</v>
      </c>
      <c r="C30" s="54">
        <f>C28-C29</f>
        <v>7771.7599999999875</v>
      </c>
      <c r="D30" s="4"/>
      <c r="F30" s="440" t="s">
        <v>107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2"/>
    </row>
    <row r="31" spans="2:16" ht="16" thickBot="1" x14ac:dyDescent="0.25">
      <c r="F31" s="114"/>
      <c r="G31" s="113"/>
      <c r="H31" s="113"/>
      <c r="I31" s="113"/>
      <c r="J31" s="113"/>
      <c r="K31" s="113"/>
      <c r="L31" s="113"/>
      <c r="M31" s="113"/>
      <c r="N31" s="113"/>
      <c r="O31" s="113"/>
      <c r="P31" s="115"/>
    </row>
    <row r="32" spans="2:16" ht="16" thickBot="1" x14ac:dyDescent="0.25">
      <c r="D32" s="6"/>
      <c r="F32" s="419" t="s">
        <v>17</v>
      </c>
      <c r="G32" s="420"/>
      <c r="H32" s="421"/>
      <c r="I32" s="7" t="s">
        <v>18</v>
      </c>
      <c r="J32" s="7" t="s">
        <v>31</v>
      </c>
      <c r="K32" s="97"/>
      <c r="L32" s="419" t="s">
        <v>19</v>
      </c>
      <c r="M32" s="420"/>
      <c r="N32" s="421"/>
      <c r="O32" s="7" t="s">
        <v>18</v>
      </c>
      <c r="P32" s="7" t="s">
        <v>31</v>
      </c>
    </row>
    <row r="33" spans="3:16" ht="16" thickBot="1" x14ac:dyDescent="0.25">
      <c r="D33" s="8"/>
      <c r="F33" s="9"/>
      <c r="I33" s="73">
        <f>C13</f>
        <v>400000</v>
      </c>
      <c r="J33" s="73">
        <f>I33</f>
        <v>400000</v>
      </c>
      <c r="K33" s="97"/>
      <c r="L33" s="9"/>
      <c r="O33" s="20">
        <f>I33</f>
        <v>400000</v>
      </c>
      <c r="P33" s="20">
        <f>O33</f>
        <v>400000</v>
      </c>
    </row>
    <row r="34" spans="3:16" x14ac:dyDescent="0.2">
      <c r="F34" s="60">
        <f>'Tax Tables'!B25</f>
        <v>0</v>
      </c>
      <c r="G34" s="65">
        <f>'Tax Tables'!C25</f>
        <v>100000000</v>
      </c>
      <c r="H34" s="67">
        <f>'Tax Tables'!D25</f>
        <v>0.03</v>
      </c>
      <c r="I34" s="36">
        <f>IF(IF(I$33&gt;G34,(G34-F34)*H34,(I$33-F34)*H34)&gt;0,IF(I$33&gt;G34,(G34-F34)*H34,(I$33-F34)*H34),0)</f>
        <v>12000</v>
      </c>
      <c r="J34" s="38">
        <f>IF(IF(J$33&gt;G34,(G34-F34)*H34,(J$33-F34)*H34)&gt;0,IF(J$33&gt;G34,(G34-F34)*H34,(J$33-F34)*H34),0)</f>
        <v>12000</v>
      </c>
      <c r="K34" s="97"/>
      <c r="L34" s="60">
        <f>'Tax Tables'!F25</f>
        <v>0</v>
      </c>
      <c r="M34" s="65">
        <f>'Tax Tables'!G25</f>
        <v>100000000</v>
      </c>
      <c r="N34" s="66">
        <f>'Tax Tables'!H25</f>
        <v>0.03</v>
      </c>
      <c r="O34" s="36">
        <f>IF(IF(O$33&gt;M34,(M34-L34)*N34,(O$33-L34)*N34)&gt;0,IF(O$33&gt;M34,(M34-L34)*N34,(O$33-L34)*N34),0)</f>
        <v>12000</v>
      </c>
      <c r="P34" s="38">
        <f>IF(IF(P$33&gt;M34,(M34-L34)*N34,(P$33-L34)*N34)&gt;0,IF(P$33&gt;M34,(M34-L34)*N34,(P$33-L34)*N34),0)</f>
        <v>12000</v>
      </c>
    </row>
    <row r="35" spans="3:16" x14ac:dyDescent="0.2">
      <c r="F35" s="60">
        <f>'Tax Tables'!B26</f>
        <v>0</v>
      </c>
      <c r="G35" s="65">
        <f>'Tax Tables'!C26</f>
        <v>0</v>
      </c>
      <c r="H35" s="40">
        <f>'Tax Tables'!D26</f>
        <v>0</v>
      </c>
      <c r="I35" s="34">
        <f>IF(IF(I$33&gt;G35,(G35-F35)*H35,(I$33-F35)*H35)&gt;0,IF(I$33&gt;G35,(G35-F35)*H35,(I$33-F35)*H35),0)</f>
        <v>0</v>
      </c>
      <c r="J35" s="11">
        <f>IF(IF(J$33&gt;G35,(G35-F35)*H35,(J$33-F35)*H35)&gt;0,IF(J$33&gt;G35,(G35-F35)*H35,(J$33-F35)*H35),0)</f>
        <v>0</v>
      </c>
      <c r="K35" s="97"/>
      <c r="L35" s="60">
        <f>'Tax Tables'!F26</f>
        <v>0</v>
      </c>
      <c r="M35" s="65">
        <f>'Tax Tables'!G26</f>
        <v>0</v>
      </c>
      <c r="N35" s="29">
        <f>'Tax Tables'!H26</f>
        <v>0</v>
      </c>
      <c r="O35" s="34">
        <f>IF(IF(O$33&gt;M35,(M35-L35)*N35,(O$33-L35)*N35)&gt;0,IF(O$33&gt;M35,(M35-L35)*N35,(O$33-L35)*N35),0)</f>
        <v>0</v>
      </c>
      <c r="P35" s="11">
        <f>IF(IF(P$33&gt;M35,(M35-L35)*N35,(P$33-L35)*N35)&gt;0,IF(P$33&gt;M35,(M35-L35)*N35,(P$33-L35)*N35),0)</f>
        <v>0</v>
      </c>
    </row>
    <row r="36" spans="3:16" x14ac:dyDescent="0.2">
      <c r="F36" s="60">
        <f>'Tax Tables'!B27</f>
        <v>0</v>
      </c>
      <c r="G36" s="65">
        <f>'Tax Tables'!C27</f>
        <v>0</v>
      </c>
      <c r="H36" s="40">
        <f>'Tax Tables'!D27</f>
        <v>0</v>
      </c>
      <c r="I36" s="34">
        <f>IF(IF(I$33&gt;G36,(G36-F36)*H36,(I$33-F36)*H36)&gt;0,IF(I$33&gt;G36,(G36-F36)*H36,(I$33-F36)*H36),0)</f>
        <v>0</v>
      </c>
      <c r="J36" s="11">
        <f>IF(IF(J$33&gt;G36,(G36-F36)*H36,(J$33-F36)*H36)&gt;0,IF(J$33&gt;G36,(G36-F36)*H36,(J$33-F36)*H36),0)</f>
        <v>0</v>
      </c>
      <c r="K36" s="97"/>
      <c r="L36" s="60">
        <f>'Tax Tables'!F27</f>
        <v>0</v>
      </c>
      <c r="M36" s="65">
        <f>'Tax Tables'!G27</f>
        <v>0</v>
      </c>
      <c r="N36" s="29">
        <f>'Tax Tables'!H27</f>
        <v>0</v>
      </c>
      <c r="O36" s="34">
        <f>IF(IF(O$33&gt;M36,(M36-L36)*N36,(O$33-L36)*N36)&gt;0,IF(O$33&gt;M36,(M36-L36)*N36,(O$33-L36)*N36),0)</f>
        <v>0</v>
      </c>
      <c r="P36" s="11">
        <f>IF(IF(P$33&gt;M36,(M36-L36)*N36,(P$33-L36)*N36)&gt;0,IF(P$33&gt;M36,(M36-L36)*N36,(P$33-L36)*N36),0)</f>
        <v>0</v>
      </c>
    </row>
    <row r="37" spans="3:16" x14ac:dyDescent="0.2">
      <c r="F37" s="60">
        <f>'Tax Tables'!B28</f>
        <v>0</v>
      </c>
      <c r="G37" s="65">
        <f>'Tax Tables'!C28</f>
        <v>0</v>
      </c>
      <c r="H37" s="40">
        <f>'Tax Tables'!D28</f>
        <v>0</v>
      </c>
      <c r="I37" s="34">
        <f>IF(IF(I$33&gt;G37,(G37-F37)*H37,(I$33-F37)*H37)&gt;0,IF(I$33&gt;G37,(G37-F37)*H37,(I$33-F37)*H37),0)</f>
        <v>0</v>
      </c>
      <c r="J37" s="11">
        <f>IF(IF(J$33&gt;G37,(G37-F37)*H37,(J$33-F37)*H37)&gt;0,IF(J$33&gt;G37,(G37-F37)*H37,(J$33-F37)*H37),0)</f>
        <v>0</v>
      </c>
      <c r="K37" s="97"/>
      <c r="L37" s="60">
        <f>'Tax Tables'!F28</f>
        <v>0</v>
      </c>
      <c r="M37" s="65">
        <f>'Tax Tables'!G28</f>
        <v>0</v>
      </c>
      <c r="N37" s="29">
        <f>'Tax Tables'!H28</f>
        <v>0</v>
      </c>
      <c r="O37" s="34">
        <f>IF(IF(O$33&gt;M37,(M37-L37)*N37,(O$33-L37)*N37)&gt;0,IF(O$33&gt;M37,(M37-L37)*N37,(O$33-L37)*N37),0)</f>
        <v>0</v>
      </c>
      <c r="P37" s="11">
        <f>IF(IF(P$33&gt;M37,(M37-L37)*N37,(P$33-L37)*N37)&gt;0,IF(P$33&gt;M37,(M37-L37)*N37,(P$33-L37)*N37),0)</f>
        <v>0</v>
      </c>
    </row>
    <row r="38" spans="3:16" x14ac:dyDescent="0.2">
      <c r="F38" s="60">
        <f>'Tax Tables'!B29</f>
        <v>0</v>
      </c>
      <c r="G38" s="65">
        <f>'Tax Tables'!C29</f>
        <v>0</v>
      </c>
      <c r="H38" s="40">
        <f>'Tax Tables'!D29</f>
        <v>0</v>
      </c>
      <c r="I38" s="34">
        <f>IF(IF(I$33&gt;G38,(G38-F38)*H38,(I$33-F38)*H38)&gt;0,IF(I$33&gt;G38,(G38-F38)*H38,(I$33-F38)*H38),0)</f>
        <v>0</v>
      </c>
      <c r="J38" s="11">
        <f>IF(IF(J$33&gt;G38,(G38-F38)*H38,(J$33-F38)*H38)&gt;0,IF(J$33&gt;G38,(G38-F38)*H38,(J$33-F38)*H38),0)</f>
        <v>0</v>
      </c>
      <c r="K38" s="97"/>
      <c r="L38" s="60">
        <f>'Tax Tables'!F29</f>
        <v>0</v>
      </c>
      <c r="M38" s="65">
        <f>'Tax Tables'!G29</f>
        <v>0</v>
      </c>
      <c r="N38" s="29">
        <f>'Tax Tables'!H29</f>
        <v>0</v>
      </c>
      <c r="O38" s="34">
        <f>IF(IF(O$33&gt;M38,(M38-L38)*N38,(O$33-L38)*N38)&gt;0,IF(O$33&gt;M38,(M38-L38)*N38,(O$33-L38)*N38),0)</f>
        <v>0</v>
      </c>
      <c r="P38" s="11">
        <f>IF(IF(P$33&gt;M38,(M38-L38)*N38,(P$33-L38)*N38)&gt;0,IF(P$33&gt;M38,(M38-L38)*N38,(P$33-L38)*N38),0)</f>
        <v>0</v>
      </c>
    </row>
    <row r="39" spans="3:16" ht="16" thickBot="1" x14ac:dyDescent="0.25">
      <c r="D39" s="18"/>
      <c r="F39" s="91">
        <f>'Tax Tables'!B30</f>
        <v>0</v>
      </c>
      <c r="G39" s="92">
        <f>'Tax Tables'!C30</f>
        <v>0</v>
      </c>
      <c r="H39" s="93">
        <f>'Tax Tables'!D30</f>
        <v>0</v>
      </c>
      <c r="I39" s="35">
        <f>IF(I33&gt;=F39,(I33-F39)*H39,0)</f>
        <v>0</v>
      </c>
      <c r="J39" s="14">
        <f>IF(J33&gt;=F39,(J33-F39)*H39,0)</f>
        <v>0</v>
      </c>
      <c r="K39" s="97"/>
      <c r="L39" s="91">
        <f>'Tax Tables'!F30</f>
        <v>0</v>
      </c>
      <c r="M39" s="92">
        <f>'Tax Tables'!G30</f>
        <v>0</v>
      </c>
      <c r="N39" s="94">
        <f>'Tax Tables'!H30</f>
        <v>0</v>
      </c>
      <c r="O39" s="35">
        <f>IF(O33&gt;=L39,(O33-L39)*N39,0)</f>
        <v>0</v>
      </c>
      <c r="P39" s="14">
        <f>IF(P33&gt;=L39,(P33-L39)*N39,0)</f>
        <v>0</v>
      </c>
    </row>
    <row r="40" spans="3:16" ht="16" thickBot="1" x14ac:dyDescent="0.25">
      <c r="D40" s="4"/>
      <c r="E40" s="1"/>
      <c r="F40" s="96"/>
      <c r="G40" s="97"/>
      <c r="H40" s="97"/>
      <c r="I40" s="97"/>
      <c r="J40" s="97"/>
      <c r="K40" s="97"/>
      <c r="L40" s="97"/>
      <c r="M40" s="97"/>
      <c r="N40" s="97"/>
      <c r="O40" s="97"/>
      <c r="P40" s="98"/>
    </row>
    <row r="41" spans="3:16" ht="16" thickBot="1" x14ac:dyDescent="0.25">
      <c r="E41" s="23"/>
      <c r="F41" s="96"/>
      <c r="G41" s="97"/>
      <c r="H41" s="422" t="s">
        <v>26</v>
      </c>
      <c r="I41" s="423"/>
      <c r="J41" s="104" t="s">
        <v>38</v>
      </c>
      <c r="K41" s="96"/>
      <c r="L41" s="97"/>
      <c r="M41" s="97"/>
      <c r="N41" s="422" t="s">
        <v>26</v>
      </c>
      <c r="O41" s="423"/>
      <c r="P41" s="104" t="s">
        <v>38</v>
      </c>
    </row>
    <row r="42" spans="3:16" ht="16" thickBot="1" x14ac:dyDescent="0.25">
      <c r="F42" s="101"/>
      <c r="G42" s="100"/>
      <c r="H42" s="106">
        <f>SUM(I34:I39)</f>
        <v>12000</v>
      </c>
      <c r="I42" s="106">
        <f>SUM(J34:J39)</f>
        <v>12000</v>
      </c>
      <c r="J42" s="107">
        <f>H42-I42</f>
        <v>0</v>
      </c>
      <c r="K42" s="101"/>
      <c r="L42" s="100"/>
      <c r="M42" s="100"/>
      <c r="N42" s="106">
        <f>SUM(O34:O39)</f>
        <v>12000</v>
      </c>
      <c r="O42" s="106">
        <f>SUM(P34:P39)</f>
        <v>12000</v>
      </c>
      <c r="P42" s="107">
        <f>N42-O42</f>
        <v>0</v>
      </c>
    </row>
    <row r="43" spans="3:16" ht="16" thickBot="1" x14ac:dyDescent="0.25">
      <c r="C43" s="4"/>
    </row>
    <row r="44" spans="3:16" x14ac:dyDescent="0.2">
      <c r="C44" s="6"/>
      <c r="G44" s="181" t="s">
        <v>90</v>
      </c>
      <c r="H44" s="175">
        <f>'Tax Tables'!$C$34</f>
        <v>3.7999999999999999E-2</v>
      </c>
    </row>
    <row r="45" spans="3:16" ht="16" thickBot="1" x14ac:dyDescent="0.25">
      <c r="C45" s="8"/>
      <c r="G45" s="174">
        <f>SUM(C6:C9)+C11</f>
        <v>0</v>
      </c>
      <c r="H45" s="140">
        <f>IF(C13-C20-IF(C3="Married-Joint",250000,200000)&gt;G45,(C13-C20-IF(C3="Married-Joint",250000,200000))*H44, G45*H44)</f>
        <v>0</v>
      </c>
    </row>
    <row r="52" spans="2:3" x14ac:dyDescent="0.2">
      <c r="C52" s="18"/>
    </row>
    <row r="53" spans="2:3" x14ac:dyDescent="0.2">
      <c r="B53" s="4"/>
      <c r="C53" s="4"/>
    </row>
  </sheetData>
  <mergeCells count="15">
    <mergeCell ref="F19:P19"/>
    <mergeCell ref="F4:P4"/>
    <mergeCell ref="F6:H6"/>
    <mergeCell ref="L6:N6"/>
    <mergeCell ref="H16:I16"/>
    <mergeCell ref="N16:O16"/>
    <mergeCell ref="H41:I41"/>
    <mergeCell ref="N41:O41"/>
    <mergeCell ref="F21:H21"/>
    <mergeCell ref="L21:N21"/>
    <mergeCell ref="H27:I27"/>
    <mergeCell ref="N27:O27"/>
    <mergeCell ref="F30:P30"/>
    <mergeCell ref="F32:H32"/>
    <mergeCell ref="L32:N3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4E34-B24E-3C40-BE30-34E521F27582}">
  <dimension ref="B1:P53"/>
  <sheetViews>
    <sheetView zoomScale="110" zoomScaleNormal="110" workbookViewId="0">
      <selection activeCell="C21" sqref="C21"/>
    </sheetView>
  </sheetViews>
  <sheetFormatPr baseColWidth="10" defaultColWidth="8.83203125" defaultRowHeight="15" x14ac:dyDescent="0.2"/>
  <cols>
    <col min="2" max="2" width="24.5" bestFit="1" customWidth="1"/>
    <col min="3" max="3" width="15.5" bestFit="1" customWidth="1"/>
    <col min="4" max="4" width="19.5" bestFit="1" customWidth="1"/>
    <col min="5" max="5" width="14.33203125" bestFit="1" customWidth="1"/>
    <col min="6" max="6" width="12.5" bestFit="1" customWidth="1"/>
    <col min="7" max="7" width="16.6640625" customWidth="1"/>
    <col min="8" max="8" width="14.33203125" bestFit="1" customWidth="1"/>
    <col min="9" max="9" width="16.83203125" bestFit="1" customWidth="1"/>
    <col min="10" max="10" width="18.83203125" customWidth="1"/>
    <col min="11" max="11" width="14.33203125" bestFit="1" customWidth="1"/>
    <col min="12" max="12" width="12.5" bestFit="1" customWidth="1"/>
    <col min="13" max="13" width="16.83203125" customWidth="1"/>
    <col min="14" max="14" width="12.5" bestFit="1" customWidth="1"/>
    <col min="15" max="15" width="13.83203125" bestFit="1" customWidth="1"/>
    <col min="16" max="16" width="16.83203125" customWidth="1"/>
  </cols>
  <sheetData>
    <row r="1" spans="2:16" ht="16" thickBot="1" x14ac:dyDescent="0.25"/>
    <row r="2" spans="2:16" ht="16" thickBot="1" x14ac:dyDescent="0.25">
      <c r="B2" s="74"/>
      <c r="C2" s="75"/>
      <c r="D2" s="57" t="s">
        <v>29</v>
      </c>
    </row>
    <row r="3" spans="2:16" ht="16" thickBot="1" x14ac:dyDescent="0.25">
      <c r="B3" s="27" t="s">
        <v>13</v>
      </c>
      <c r="C3" s="148" t="str">
        <f>'Strategy comparison'!C4</f>
        <v>Married-Joint</v>
      </c>
      <c r="D3" s="58" t="s">
        <v>0</v>
      </c>
    </row>
    <row r="4" spans="2:16" ht="16" thickBot="1" x14ac:dyDescent="0.25">
      <c r="B4" s="27" t="s">
        <v>14</v>
      </c>
      <c r="C4" s="89">
        <f>'Strategy comparison'!C5+'Roth comparison'!C2</f>
        <v>850000</v>
      </c>
      <c r="D4" s="42">
        <v>0.5</v>
      </c>
      <c r="F4" s="437" t="s">
        <v>106</v>
      </c>
      <c r="G4" s="438"/>
      <c r="H4" s="438"/>
      <c r="I4" s="438"/>
      <c r="J4" s="438"/>
      <c r="K4" s="438"/>
      <c r="L4" s="438"/>
      <c r="M4" s="438"/>
      <c r="N4" s="438"/>
      <c r="O4" s="438"/>
      <c r="P4" s="439"/>
    </row>
    <row r="5" spans="2:16" ht="16" thickBot="1" x14ac:dyDescent="0.25">
      <c r="B5" s="27" t="s">
        <v>15</v>
      </c>
      <c r="C5" s="52">
        <f>'Strategy comparison'!C6</f>
        <v>0</v>
      </c>
      <c r="D5" s="61"/>
      <c r="F5" s="96"/>
      <c r="G5" s="97"/>
      <c r="H5" s="97"/>
      <c r="I5" s="97"/>
      <c r="J5" s="97"/>
      <c r="K5" s="97"/>
      <c r="L5" s="97"/>
      <c r="M5" s="97"/>
      <c r="N5" s="97"/>
      <c r="O5" s="97"/>
      <c r="P5" s="98"/>
    </row>
    <row r="6" spans="2:16" ht="16" thickBot="1" x14ac:dyDescent="0.25">
      <c r="B6" s="27" t="s">
        <v>16</v>
      </c>
      <c r="C6" s="52">
        <f>'Strategy comparison'!C7</f>
        <v>0</v>
      </c>
      <c r="D6" s="62" t="s">
        <v>72</v>
      </c>
      <c r="F6" s="419" t="s">
        <v>17</v>
      </c>
      <c r="G6" s="420"/>
      <c r="H6" s="421"/>
      <c r="I6" s="7" t="s">
        <v>100</v>
      </c>
      <c r="J6" s="7" t="s">
        <v>103</v>
      </c>
      <c r="L6" s="419" t="s">
        <v>19</v>
      </c>
      <c r="M6" s="420"/>
      <c r="N6" s="421"/>
      <c r="O6" s="7" t="s">
        <v>100</v>
      </c>
      <c r="P6" s="7" t="s">
        <v>103</v>
      </c>
    </row>
    <row r="7" spans="2:16" ht="16" thickBot="1" x14ac:dyDescent="0.25">
      <c r="B7" s="27" t="s">
        <v>96</v>
      </c>
      <c r="C7" s="176">
        <f>'Strategy comparison'!$C$9</f>
        <v>0</v>
      </c>
      <c r="D7" s="63">
        <v>5</v>
      </c>
      <c r="F7" s="116"/>
      <c r="G7" s="117"/>
      <c r="H7" s="82"/>
      <c r="I7" s="69">
        <f>C10</f>
        <v>850000</v>
      </c>
      <c r="J7" s="69">
        <f>C10-MIN(C10,C20)</f>
        <v>425000</v>
      </c>
      <c r="K7" s="97"/>
      <c r="L7" s="116"/>
      <c r="M7" s="117"/>
      <c r="N7" s="82"/>
      <c r="O7" s="39">
        <f>I7</f>
        <v>850000</v>
      </c>
      <c r="P7" s="95">
        <f>J7</f>
        <v>425000</v>
      </c>
    </row>
    <row r="8" spans="2:16" x14ac:dyDescent="0.2">
      <c r="B8" s="27" t="s">
        <v>98</v>
      </c>
      <c r="C8" s="176">
        <f>'Strategy comparison'!$C$10</f>
        <v>0</v>
      </c>
      <c r="D8" s="2" t="s">
        <v>32</v>
      </c>
      <c r="F8" s="34">
        <f>'Tax Tables'!B6</f>
        <v>0</v>
      </c>
      <c r="G8" s="44">
        <f>'Tax Tables'!C6</f>
        <v>24800</v>
      </c>
      <c r="H8" s="10">
        <f>'Tax Tables'!D6</f>
        <v>0.1</v>
      </c>
      <c r="I8" s="38">
        <f t="shared" ref="I8:I13" si="0">IF(IF(I$7&gt;G8,(G8-F8)*H8,(I$7-F8)*H8)&gt;0,IF(I$7&gt;G8,(G8-F8)*H8,(I$7-F8)*H8),0)</f>
        <v>2480</v>
      </c>
      <c r="J8" s="38">
        <f t="shared" ref="J8:J13" si="1">IF(IF(J$7&gt;G8,(G8-F8)*H8,(J$7-F8)*H8)&gt;0,IF(J$7&gt;G8,(G8-F8)*H8,(J$7-F8)*H8),0)</f>
        <v>2480</v>
      </c>
      <c r="K8" s="97"/>
      <c r="L8" s="34">
        <f>'Tax Tables'!F6</f>
        <v>0</v>
      </c>
      <c r="M8" s="44">
        <f>'Tax Tables'!G6</f>
        <v>12400</v>
      </c>
      <c r="N8" s="10">
        <f>'Tax Tables'!H6</f>
        <v>0.1</v>
      </c>
      <c r="O8" s="38">
        <f t="shared" ref="O8:O13" si="2">IF(IF(O$7&gt;M8,(M8-L8)*N8,(O$7-L8)*N8)&gt;0,IF(O$7&gt;M8,(M8-L8)*N8,(O$7-L8)*N8),0)</f>
        <v>1240</v>
      </c>
      <c r="P8" s="38">
        <f t="shared" ref="P8:P13" si="3">IF(IF(P$7&gt;M8,(M8-L8)*N8,(P$7-L8)*N8)&gt;0,IF(P$7&gt;M8,(M8-L8)*N8,(P$7-L8)*N8),0)</f>
        <v>1240</v>
      </c>
    </row>
    <row r="9" spans="2:16" x14ac:dyDescent="0.2">
      <c r="B9" s="27" t="s">
        <v>97</v>
      </c>
      <c r="C9" s="176">
        <f>'Strategy comparison'!$C$11</f>
        <v>0</v>
      </c>
      <c r="D9" s="3" t="s">
        <v>34</v>
      </c>
      <c r="F9" s="34">
        <f>'Tax Tables'!B7</f>
        <v>24801</v>
      </c>
      <c r="G9" s="44">
        <f>'Tax Tables'!C7</f>
        <v>100800</v>
      </c>
      <c r="H9" s="10">
        <f>'Tax Tables'!D7</f>
        <v>0.12</v>
      </c>
      <c r="I9" s="11">
        <f t="shared" si="0"/>
        <v>9119.8799999999992</v>
      </c>
      <c r="J9" s="11">
        <f t="shared" si="1"/>
        <v>9119.8799999999992</v>
      </c>
      <c r="K9" s="97"/>
      <c r="L9" s="34">
        <f>'Tax Tables'!F7</f>
        <v>12401</v>
      </c>
      <c r="M9" s="44">
        <f>'Tax Tables'!G7</f>
        <v>50400</v>
      </c>
      <c r="N9" s="10">
        <f>'Tax Tables'!H7</f>
        <v>0.12</v>
      </c>
      <c r="O9" s="11">
        <f t="shared" si="2"/>
        <v>4559.88</v>
      </c>
      <c r="P9" s="11">
        <f t="shared" si="3"/>
        <v>4559.88</v>
      </c>
    </row>
    <row r="10" spans="2:16" ht="16" thickBot="1" x14ac:dyDescent="0.25">
      <c r="B10" s="27" t="s">
        <v>100</v>
      </c>
      <c r="C10" s="49">
        <f>SUM(C4:C7)+C9</f>
        <v>850000</v>
      </c>
      <c r="D10" s="5">
        <f>C20/D7</f>
        <v>85000</v>
      </c>
      <c r="F10" s="34">
        <f>'Tax Tables'!B8</f>
        <v>100801</v>
      </c>
      <c r="G10" s="44">
        <f>'Tax Tables'!C8</f>
        <v>211400</v>
      </c>
      <c r="H10" s="10">
        <f>'Tax Tables'!D8</f>
        <v>0.22</v>
      </c>
      <c r="I10" s="11">
        <f t="shared" si="0"/>
        <v>24331.78</v>
      </c>
      <c r="J10" s="11">
        <f t="shared" si="1"/>
        <v>24331.78</v>
      </c>
      <c r="K10" s="97"/>
      <c r="L10" s="34">
        <f>'Tax Tables'!F8</f>
        <v>50401</v>
      </c>
      <c r="M10" s="44">
        <f>'Tax Tables'!G8</f>
        <v>105700</v>
      </c>
      <c r="N10" s="10">
        <f>'Tax Tables'!H8</f>
        <v>0.22</v>
      </c>
      <c r="O10" s="11">
        <f t="shared" si="2"/>
        <v>12165.78</v>
      </c>
      <c r="P10" s="11">
        <f t="shared" si="3"/>
        <v>12165.78</v>
      </c>
    </row>
    <row r="11" spans="2:16" x14ac:dyDescent="0.2">
      <c r="B11" s="27" t="s">
        <v>20</v>
      </c>
      <c r="C11" s="49">
        <f>'Strategy comparison'!C8</f>
        <v>0</v>
      </c>
      <c r="D11" s="3" t="s">
        <v>35</v>
      </c>
      <c r="F11" s="34">
        <f>'Tax Tables'!B9</f>
        <v>211401</v>
      </c>
      <c r="G11" s="44">
        <f>'Tax Tables'!C9</f>
        <v>403550</v>
      </c>
      <c r="H11" s="10">
        <f>'Tax Tables'!D9</f>
        <v>0.24</v>
      </c>
      <c r="I11" s="11">
        <f t="shared" si="0"/>
        <v>46115.759999999995</v>
      </c>
      <c r="J11" s="11">
        <f t="shared" si="1"/>
        <v>46115.759999999995</v>
      </c>
      <c r="K11" s="97"/>
      <c r="L11" s="34">
        <f>'Tax Tables'!F9</f>
        <v>105701</v>
      </c>
      <c r="M11" s="44">
        <f>'Tax Tables'!G9</f>
        <v>201775</v>
      </c>
      <c r="N11" s="10">
        <f>'Tax Tables'!H9</f>
        <v>0.24</v>
      </c>
      <c r="O11" s="11">
        <f t="shared" si="2"/>
        <v>23057.759999999998</v>
      </c>
      <c r="P11" s="11">
        <f t="shared" si="3"/>
        <v>23057.759999999998</v>
      </c>
    </row>
    <row r="12" spans="2:16" ht="16" thickBot="1" x14ac:dyDescent="0.25">
      <c r="B12" s="27" t="s">
        <v>102</v>
      </c>
      <c r="C12" s="49">
        <f>C11+C8</f>
        <v>0</v>
      </c>
      <c r="D12" s="147">
        <v>0</v>
      </c>
      <c r="F12" s="34">
        <f>'Tax Tables'!B10</f>
        <v>403551</v>
      </c>
      <c r="G12" s="44">
        <f>'Tax Tables'!C10</f>
        <v>512450</v>
      </c>
      <c r="H12" s="10">
        <f>'Tax Tables'!D10</f>
        <v>0.32</v>
      </c>
      <c r="I12" s="11">
        <f t="shared" si="0"/>
        <v>34847.68</v>
      </c>
      <c r="J12" s="11">
        <f t="shared" si="1"/>
        <v>6863.68</v>
      </c>
      <c r="K12" s="97"/>
      <c r="L12" s="34">
        <f>'Tax Tables'!F10</f>
        <v>201776</v>
      </c>
      <c r="M12" s="44">
        <f>'Tax Tables'!G10</f>
        <v>256225</v>
      </c>
      <c r="N12" s="10">
        <f>'Tax Tables'!H10</f>
        <v>0.32</v>
      </c>
      <c r="O12" s="11">
        <f t="shared" si="2"/>
        <v>17423.68</v>
      </c>
      <c r="P12" s="11">
        <f t="shared" si="3"/>
        <v>17423.68</v>
      </c>
    </row>
    <row r="13" spans="2:16" x14ac:dyDescent="0.2">
      <c r="B13" s="27" t="s">
        <v>18</v>
      </c>
      <c r="C13" s="49">
        <f>C10+C12</f>
        <v>850000</v>
      </c>
      <c r="D13" s="68" t="s">
        <v>36</v>
      </c>
      <c r="F13" s="34">
        <f>'Tax Tables'!B11</f>
        <v>512451</v>
      </c>
      <c r="G13" s="44">
        <f>'Tax Tables'!C11</f>
        <v>768700</v>
      </c>
      <c r="H13" s="10">
        <f>'Tax Tables'!D11</f>
        <v>0.35</v>
      </c>
      <c r="I13" s="11">
        <f t="shared" si="0"/>
        <v>89687.15</v>
      </c>
      <c r="J13" s="11">
        <f t="shared" si="1"/>
        <v>0</v>
      </c>
      <c r="K13" s="97"/>
      <c r="L13" s="34">
        <f>'Tax Tables'!F11</f>
        <v>256226</v>
      </c>
      <c r="M13" s="44">
        <f>'Tax Tables'!G11</f>
        <v>640600</v>
      </c>
      <c r="N13" s="10">
        <f>'Tax Tables'!H11</f>
        <v>0.35</v>
      </c>
      <c r="O13" s="11">
        <f t="shared" si="2"/>
        <v>134530.9</v>
      </c>
      <c r="P13" s="11">
        <f t="shared" si="3"/>
        <v>59070.899999999994</v>
      </c>
    </row>
    <row r="14" spans="2:16" ht="16" thickBot="1" x14ac:dyDescent="0.25">
      <c r="B14" s="28" t="s">
        <v>21</v>
      </c>
      <c r="C14" s="49">
        <f>IF(C3="Single",N17,IF(C3="Married-Joint",H17,"Filing Status?"))</f>
        <v>236662.87999999998</v>
      </c>
      <c r="D14" s="129">
        <f>D10*(1-D12)</f>
        <v>85000</v>
      </c>
      <c r="E14" s="6"/>
      <c r="F14" s="35">
        <f>'Tax Tables'!B12</f>
        <v>768701</v>
      </c>
      <c r="G14" s="168">
        <f>'Tax Tables'!C12</f>
        <v>99999999999</v>
      </c>
      <c r="H14" s="13">
        <f>'Tax Tables'!D12</f>
        <v>0.37</v>
      </c>
      <c r="I14" s="14">
        <f>IF(I7&gt;=F14,(I7-F14)*H14,0)</f>
        <v>30080.63</v>
      </c>
      <c r="J14" s="14">
        <f>IF(J7&gt;=F14,(J7-F14)*H14,0)</f>
        <v>0</v>
      </c>
      <c r="L14" s="35">
        <f>'Tax Tables'!F12</f>
        <v>640601</v>
      </c>
      <c r="M14" s="168">
        <f>'Tax Tables'!G12</f>
        <v>99999999999</v>
      </c>
      <c r="N14" s="13">
        <f>'Tax Tables'!H12</f>
        <v>0.37</v>
      </c>
      <c r="O14" s="14">
        <f>IF(O7&gt;=L14,(O7-L14)*N14,0)</f>
        <v>77477.63</v>
      </c>
      <c r="P14" s="14">
        <f>IF(P7&gt;=L14,(P7-L14)*N14,0)</f>
        <v>0</v>
      </c>
    </row>
    <row r="15" spans="2:16" ht="16" thickBot="1" x14ac:dyDescent="0.25">
      <c r="B15" s="28" t="s">
        <v>23</v>
      </c>
      <c r="C15" s="49">
        <f>IF(C3="Single",N28,IF(C3="Married-Joint",H28,"Filing Status?"))</f>
        <v>0</v>
      </c>
      <c r="D15" s="68" t="s">
        <v>7</v>
      </c>
      <c r="E15" s="23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8"/>
    </row>
    <row r="16" spans="2:16" ht="16" thickBot="1" x14ac:dyDescent="0.25">
      <c r="B16" s="28" t="s">
        <v>22</v>
      </c>
      <c r="C16" s="52">
        <f>IF(C3="Single",N42,IF(C3="Married-Joint",H42,"Filing Status?"))</f>
        <v>25500</v>
      </c>
      <c r="D16" s="90">
        <f>'Strategy comparison'!C12</f>
        <v>0</v>
      </c>
      <c r="E16" s="4"/>
      <c r="F16" s="103"/>
      <c r="G16" s="97"/>
      <c r="H16" s="422" t="s">
        <v>26</v>
      </c>
      <c r="I16" s="423"/>
      <c r="J16" s="104" t="s">
        <v>38</v>
      </c>
      <c r="K16" s="96"/>
      <c r="L16" s="97"/>
      <c r="M16" s="97"/>
      <c r="N16" s="422" t="s">
        <v>26</v>
      </c>
      <c r="O16" s="423"/>
      <c r="P16" s="104" t="s">
        <v>38</v>
      </c>
    </row>
    <row r="17" spans="2:16" ht="16" thickBot="1" x14ac:dyDescent="0.25">
      <c r="B17" s="27" t="s">
        <v>24</v>
      </c>
      <c r="C17" s="50">
        <f>SUM(C14:C16)+H45</f>
        <v>268812.88</v>
      </c>
      <c r="D17" s="3" t="s">
        <v>40</v>
      </c>
      <c r="F17" s="105"/>
      <c r="G17" s="100"/>
      <c r="H17" s="106">
        <f>SUM(I8:I14)</f>
        <v>236662.87999999998</v>
      </c>
      <c r="I17" s="106">
        <f>SUM(J8:J14)</f>
        <v>88911.099999999977</v>
      </c>
      <c r="J17" s="107">
        <f>H17-I17</f>
        <v>147751.78</v>
      </c>
      <c r="K17" s="101"/>
      <c r="L17" s="100"/>
      <c r="M17" s="100"/>
      <c r="N17" s="106">
        <f>SUM(O8:O14)</f>
        <v>270455.63</v>
      </c>
      <c r="O17" s="106">
        <f>SUM(P8:P14)</f>
        <v>117518</v>
      </c>
      <c r="P17" s="107">
        <f>N17-O17</f>
        <v>152937.63</v>
      </c>
    </row>
    <row r="18" spans="2:16" ht="16" thickBot="1" x14ac:dyDescent="0.25">
      <c r="B18" s="26" t="s">
        <v>25</v>
      </c>
      <c r="C18" s="59">
        <f>C17/SUM(C10:C11)</f>
        <v>0.31625044705882355</v>
      </c>
      <c r="D18" s="5">
        <f>SUM(D14,D16)</f>
        <v>85000</v>
      </c>
      <c r="E18" s="16"/>
      <c r="F18" s="6"/>
    </row>
    <row r="19" spans="2:16" ht="16" thickBot="1" x14ac:dyDescent="0.25">
      <c r="B19" s="26"/>
      <c r="C19" s="55"/>
      <c r="F19" s="444" t="s">
        <v>105</v>
      </c>
      <c r="G19" s="445"/>
      <c r="H19" s="445"/>
      <c r="I19" s="445"/>
      <c r="J19" s="445"/>
      <c r="K19" s="445"/>
      <c r="L19" s="445"/>
      <c r="M19" s="445"/>
      <c r="N19" s="445"/>
      <c r="O19" s="445"/>
      <c r="P19" s="446"/>
    </row>
    <row r="20" spans="2:16" ht="16" thickBot="1" x14ac:dyDescent="0.25">
      <c r="B20" s="26" t="s">
        <v>37</v>
      </c>
      <c r="C20" s="51">
        <f>IF('Roth comparison'!I5="",(I7+I22)*D4,'Roth comparison'!I5)</f>
        <v>425000</v>
      </c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8"/>
    </row>
    <row r="21" spans="2:16" ht="16" thickBot="1" x14ac:dyDescent="0.25">
      <c r="B21" s="26" t="s">
        <v>39</v>
      </c>
      <c r="C21" s="51">
        <f>C13-C20</f>
        <v>425000</v>
      </c>
      <c r="F21" s="419" t="s">
        <v>17</v>
      </c>
      <c r="G21" s="420"/>
      <c r="H21" s="421"/>
      <c r="I21" s="19" t="s">
        <v>108</v>
      </c>
      <c r="J21" s="187" t="s">
        <v>109</v>
      </c>
      <c r="K21" s="97"/>
      <c r="L21" s="419" t="s">
        <v>19</v>
      </c>
      <c r="M21" s="420"/>
      <c r="N21" s="421"/>
      <c r="O21" s="19" t="s">
        <v>108</v>
      </c>
      <c r="P21" s="187" t="s">
        <v>109</v>
      </c>
    </row>
    <row r="22" spans="2:16" ht="16" thickBot="1" x14ac:dyDescent="0.25">
      <c r="B22" s="27" t="s">
        <v>41</v>
      </c>
      <c r="C22" s="52">
        <f>IF(C3="Single",O17,IF(C3="Married-Joint",I17,"Filing Status?"))</f>
        <v>88911.099999999977</v>
      </c>
      <c r="F22" s="118"/>
      <c r="G22" s="119"/>
      <c r="H22" s="120"/>
      <c r="I22" s="73">
        <f>C12</f>
        <v>0</v>
      </c>
      <c r="J22" s="73">
        <f>I22-IF(C20&gt;I7,C20-I7,0)</f>
        <v>0</v>
      </c>
      <c r="K22" s="97"/>
      <c r="L22" s="116"/>
      <c r="M22" s="117"/>
      <c r="N22" s="82"/>
      <c r="O22" s="73">
        <f>C12</f>
        <v>0</v>
      </c>
      <c r="P22" s="73">
        <f>O22</f>
        <v>0</v>
      </c>
    </row>
    <row r="23" spans="2:16" ht="16" thickBot="1" x14ac:dyDescent="0.25">
      <c r="B23" s="27" t="s">
        <v>42</v>
      </c>
      <c r="C23" s="56">
        <f>IF(C3="Single",N42,IF(C3="Married-Joint",H42,"Filing Status?"))</f>
        <v>25500</v>
      </c>
      <c r="E23" s="4"/>
      <c r="F23" s="34">
        <f>'Tax Tables'!B18</f>
        <v>0</v>
      </c>
      <c r="G23" s="44">
        <f>'Tax Tables'!C18</f>
        <v>98900</v>
      </c>
      <c r="H23" s="10">
        <f>'Tax Tables'!D18</f>
        <v>0</v>
      </c>
      <c r="I23" s="81">
        <f t="shared" ref="I23:J25" si="4">IF(I$22&gt;$G23,($G23-$F23)*$H23,MAX((I$22-$F23),0)*$H23)</f>
        <v>0</v>
      </c>
      <c r="J23" s="81">
        <f t="shared" si="4"/>
        <v>0</v>
      </c>
      <c r="K23" s="97"/>
      <c r="L23" s="34">
        <f>'Tax Tables'!F18</f>
        <v>0</v>
      </c>
      <c r="M23" s="44">
        <f>'Tax Tables'!G18</f>
        <v>49450</v>
      </c>
      <c r="N23" s="10">
        <f>'Tax Tables'!H18</f>
        <v>0</v>
      </c>
      <c r="O23" s="81">
        <f t="shared" ref="O23:P25" si="5">IF(O$22&gt;$M23,($M23-$L23)*$N23,MAX((O$22-$L23),0)*$N23)</f>
        <v>0</v>
      </c>
      <c r="P23" s="81">
        <f t="shared" si="5"/>
        <v>0</v>
      </c>
    </row>
    <row r="24" spans="2:16" ht="16" thickBot="1" x14ac:dyDescent="0.25">
      <c r="B24" s="27" t="s">
        <v>23</v>
      </c>
      <c r="C24" s="56">
        <f>IF(C3="Single",O28,IF(C3="Married-Joint",I28,"Filing Status?"))</f>
        <v>0</v>
      </c>
      <c r="E24" s="6"/>
      <c r="F24" s="34">
        <f>'Tax Tables'!B19</f>
        <v>98901</v>
      </c>
      <c r="G24" s="44">
        <f>'Tax Tables'!C19</f>
        <v>613700</v>
      </c>
      <c r="H24" s="10">
        <f>'Tax Tables'!D19</f>
        <v>0.15</v>
      </c>
      <c r="I24" s="81">
        <f t="shared" si="4"/>
        <v>0</v>
      </c>
      <c r="J24" s="81">
        <f t="shared" si="4"/>
        <v>0</v>
      </c>
      <c r="K24" s="97"/>
      <c r="L24" s="34">
        <f>'Tax Tables'!F19</f>
        <v>49451</v>
      </c>
      <c r="M24" s="44">
        <f>'Tax Tables'!G19</f>
        <v>545500</v>
      </c>
      <c r="N24" s="10">
        <f>'Tax Tables'!H19</f>
        <v>0.15</v>
      </c>
      <c r="O24" s="81">
        <f t="shared" si="5"/>
        <v>0</v>
      </c>
      <c r="P24" s="81">
        <f t="shared" si="5"/>
        <v>0</v>
      </c>
    </row>
    <row r="25" spans="2:16" ht="16" thickBot="1" x14ac:dyDescent="0.25">
      <c r="B25" s="27" t="s">
        <v>90</v>
      </c>
      <c r="C25" s="177">
        <f>H45</f>
        <v>6650</v>
      </c>
      <c r="D25" s="6"/>
      <c r="E25" s="6"/>
      <c r="F25" s="35">
        <f>'Tax Tables'!B20</f>
        <v>613701</v>
      </c>
      <c r="G25" s="45">
        <f>'Tax Tables'!C20</f>
        <v>99999999999</v>
      </c>
      <c r="H25" s="13">
        <f>'Tax Tables'!D20</f>
        <v>0.2</v>
      </c>
      <c r="I25" s="81">
        <f t="shared" si="4"/>
        <v>0</v>
      </c>
      <c r="J25" s="81">
        <f t="shared" si="4"/>
        <v>0</v>
      </c>
      <c r="K25" s="97"/>
      <c r="L25" s="35">
        <f>'Tax Tables'!F20</f>
        <v>545501</v>
      </c>
      <c r="M25" s="45">
        <f>'Tax Tables'!G20</f>
        <v>99999999999</v>
      </c>
      <c r="N25" s="13">
        <f>'Tax Tables'!H20</f>
        <v>0.2</v>
      </c>
      <c r="O25" s="81">
        <f t="shared" si="5"/>
        <v>0</v>
      </c>
      <c r="P25" s="81">
        <f t="shared" si="5"/>
        <v>0</v>
      </c>
    </row>
    <row r="26" spans="2:16" ht="16" thickBot="1" x14ac:dyDescent="0.25">
      <c r="B26" s="27" t="s">
        <v>43</v>
      </c>
      <c r="C26" s="50">
        <f>SUM(C22:C25)</f>
        <v>121061.09999999998</v>
      </c>
      <c r="D26" s="6"/>
      <c r="F26" s="96"/>
      <c r="G26" s="97"/>
      <c r="H26" s="97"/>
      <c r="I26" s="97"/>
      <c r="J26" s="102"/>
      <c r="K26" s="97"/>
      <c r="L26" s="97"/>
      <c r="M26" s="97"/>
      <c r="N26" s="97"/>
      <c r="O26" s="97"/>
      <c r="P26" s="108"/>
    </row>
    <row r="27" spans="2:16" ht="16" thickBot="1" x14ac:dyDescent="0.25">
      <c r="B27" s="26" t="s">
        <v>25</v>
      </c>
      <c r="C27" s="53">
        <f>(C26+C29)/C13</f>
        <v>0.24242482352941175</v>
      </c>
      <c r="D27" s="6"/>
      <c r="E27" s="6"/>
      <c r="F27" s="96"/>
      <c r="G27" s="97"/>
      <c r="H27" s="422" t="s">
        <v>26</v>
      </c>
      <c r="I27" s="423"/>
      <c r="J27" s="109" t="s">
        <v>38</v>
      </c>
      <c r="K27" s="97"/>
      <c r="L27" s="97"/>
      <c r="M27" s="97"/>
      <c r="N27" s="422" t="s">
        <v>26</v>
      </c>
      <c r="O27" s="423"/>
      <c r="P27" s="109" t="s">
        <v>38</v>
      </c>
    </row>
    <row r="28" spans="2:16" ht="16" thickBot="1" x14ac:dyDescent="0.25">
      <c r="B28" s="27" t="s">
        <v>44</v>
      </c>
      <c r="C28" s="52">
        <f>C17-C26</f>
        <v>147751.78000000003</v>
      </c>
      <c r="D28" s="6"/>
      <c r="F28" s="101"/>
      <c r="G28" s="100"/>
      <c r="H28" s="110">
        <f>SUM(I23:I25)</f>
        <v>0</v>
      </c>
      <c r="I28" s="111">
        <f>SUM(J23:J25)</f>
        <v>0</v>
      </c>
      <c r="J28" s="112">
        <f>H28-I28</f>
        <v>0</v>
      </c>
      <c r="K28" s="101"/>
      <c r="L28" s="100"/>
      <c r="M28" s="100"/>
      <c r="N28" s="110">
        <f>SUM(O23:O25)</f>
        <v>0</v>
      </c>
      <c r="O28" s="111">
        <f>SUM(P23:P25)</f>
        <v>0</v>
      </c>
      <c r="P28" s="111">
        <f>N28-O28</f>
        <v>0</v>
      </c>
    </row>
    <row r="29" spans="2:16" ht="16" thickBot="1" x14ac:dyDescent="0.25">
      <c r="B29" s="47" t="s">
        <v>45</v>
      </c>
      <c r="C29" s="64">
        <f>D18</f>
        <v>85000</v>
      </c>
    </row>
    <row r="30" spans="2:16" ht="16" thickBot="1" x14ac:dyDescent="0.25">
      <c r="B30" s="24" t="s">
        <v>46</v>
      </c>
      <c r="C30" s="54">
        <f>C28-C29</f>
        <v>62751.780000000028</v>
      </c>
      <c r="D30" s="4"/>
      <c r="F30" s="440" t="s">
        <v>107</v>
      </c>
      <c r="G30" s="441"/>
      <c r="H30" s="441"/>
      <c r="I30" s="441"/>
      <c r="J30" s="441"/>
      <c r="K30" s="441"/>
      <c r="L30" s="441"/>
      <c r="M30" s="441"/>
      <c r="N30" s="441"/>
      <c r="O30" s="441"/>
      <c r="P30" s="442"/>
    </row>
    <row r="31" spans="2:16" ht="16" thickBot="1" x14ac:dyDescent="0.25">
      <c r="F31" s="114"/>
      <c r="G31" s="113"/>
      <c r="H31" s="113"/>
      <c r="I31" s="113"/>
      <c r="J31" s="113"/>
      <c r="K31" s="113"/>
      <c r="L31" s="113"/>
      <c r="M31" s="113"/>
      <c r="N31" s="113"/>
      <c r="O31" s="113"/>
      <c r="P31" s="115"/>
    </row>
    <row r="32" spans="2:16" ht="16" thickBot="1" x14ac:dyDescent="0.25">
      <c r="D32" s="6"/>
      <c r="F32" s="419" t="s">
        <v>17</v>
      </c>
      <c r="G32" s="420"/>
      <c r="H32" s="421"/>
      <c r="I32" s="7" t="s">
        <v>18</v>
      </c>
      <c r="J32" s="7" t="s">
        <v>31</v>
      </c>
      <c r="K32" s="97"/>
      <c r="L32" s="419" t="s">
        <v>19</v>
      </c>
      <c r="M32" s="420"/>
      <c r="N32" s="421"/>
      <c r="O32" s="7" t="s">
        <v>18</v>
      </c>
      <c r="P32" s="7" t="s">
        <v>31</v>
      </c>
    </row>
    <row r="33" spans="3:16" ht="16" thickBot="1" x14ac:dyDescent="0.25">
      <c r="D33" s="8"/>
      <c r="F33" s="9"/>
      <c r="I33" s="73">
        <f>C13</f>
        <v>850000</v>
      </c>
      <c r="J33" s="73">
        <f>I33</f>
        <v>850000</v>
      </c>
      <c r="K33" s="97"/>
      <c r="L33" s="9"/>
      <c r="O33" s="20">
        <f>I33</f>
        <v>850000</v>
      </c>
      <c r="P33" s="20">
        <f>O33</f>
        <v>850000</v>
      </c>
    </row>
    <row r="34" spans="3:16" x14ac:dyDescent="0.2">
      <c r="F34" s="60">
        <f>'Tax Tables'!B25</f>
        <v>0</v>
      </c>
      <c r="G34" s="65">
        <f>'Tax Tables'!C25</f>
        <v>100000000</v>
      </c>
      <c r="H34" s="67">
        <f>'Tax Tables'!D25</f>
        <v>0.03</v>
      </c>
      <c r="I34" s="36">
        <f>IF(IF(I$33&gt;G34,(G34-F34)*H34,(I$33-F34)*H34)&gt;0,IF(I$33&gt;G34,(G34-F34)*H34,(I$33-F34)*H34),0)</f>
        <v>25500</v>
      </c>
      <c r="J34" s="38">
        <f>IF(IF(J$33&gt;G34,(G34-F34)*H34,(J$33-F34)*H34)&gt;0,IF(J$33&gt;G34,(G34-F34)*H34,(J$33-F34)*H34),0)-20000</f>
        <v>5500</v>
      </c>
      <c r="K34" s="97"/>
      <c r="L34" s="60">
        <f>'Tax Tables'!F25</f>
        <v>0</v>
      </c>
      <c r="M34" s="65">
        <f>'Tax Tables'!G25</f>
        <v>100000000</v>
      </c>
      <c r="N34" s="66">
        <f>'Tax Tables'!H25</f>
        <v>0.03</v>
      </c>
      <c r="O34" s="36">
        <f>IF(IF(O$33&gt;M34,(M34-L34)*N34,(O$33-L34)*N34)&gt;0,IF(O$33&gt;M34,(M34-L34)*N34,(O$33-L34)*N34),0)</f>
        <v>25500</v>
      </c>
      <c r="P34" s="38">
        <f>IF(IF(P$33&gt;M34,(M34-L34)*N34,(P$33-L34)*N34)&gt;0,IF(P$33&gt;M34,(M34-L34)*N34,(P$33-L34)*N34),0)</f>
        <v>25500</v>
      </c>
    </row>
    <row r="35" spans="3:16" x14ac:dyDescent="0.2">
      <c r="F35" s="60">
        <f>'Tax Tables'!B26</f>
        <v>0</v>
      </c>
      <c r="G35" s="65">
        <f>'Tax Tables'!C26</f>
        <v>0</v>
      </c>
      <c r="H35" s="40">
        <f>'Tax Tables'!D26</f>
        <v>0</v>
      </c>
      <c r="I35" s="34">
        <f>IF(IF(I$33&gt;G35,(G35-F35)*H35,(I$33-F35)*H35)&gt;0,IF(I$33&gt;G35,(G35-F35)*H35,(I$33-F35)*H35),0)</f>
        <v>0</v>
      </c>
      <c r="J35" s="11">
        <f>IF(IF(J$33&gt;G35,(G35-F35)*H35,(J$33-F35)*H35)&gt;0,IF(J$33&gt;G35,(G35-F35)*H35,(J$33-F35)*H35),0)</f>
        <v>0</v>
      </c>
      <c r="K35" s="97"/>
      <c r="L35" s="60">
        <f>'Tax Tables'!F26</f>
        <v>0</v>
      </c>
      <c r="M35" s="65">
        <f>'Tax Tables'!G26</f>
        <v>0</v>
      </c>
      <c r="N35" s="29">
        <f>'Tax Tables'!H26</f>
        <v>0</v>
      </c>
      <c r="O35" s="34">
        <f>IF(IF(O$33&gt;M35,(M35-L35)*N35,(O$33-L35)*N35)&gt;0,IF(O$33&gt;M35,(M35-L35)*N35,(O$33-L35)*N35),0)</f>
        <v>0</v>
      </c>
      <c r="P35" s="11">
        <f>IF(IF(P$33&gt;M35,(M35-L35)*N35,(P$33-L35)*N35)&gt;0,IF(P$33&gt;M35,(M35-L35)*N35,(P$33-L35)*N35),0)</f>
        <v>0</v>
      </c>
    </row>
    <row r="36" spans="3:16" x14ac:dyDescent="0.2">
      <c r="F36" s="60">
        <f>'Tax Tables'!B27</f>
        <v>0</v>
      </c>
      <c r="G36" s="65">
        <f>'Tax Tables'!C27</f>
        <v>0</v>
      </c>
      <c r="H36" s="40">
        <f>'Tax Tables'!D27</f>
        <v>0</v>
      </c>
      <c r="I36" s="34">
        <f>IF(IF(I$33&gt;G36,(G36-F36)*H36,(I$33-F36)*H36)&gt;0,IF(I$33&gt;G36,(G36-F36)*H36,(I$33-F36)*H36),0)</f>
        <v>0</v>
      </c>
      <c r="J36" s="11">
        <f>IF(IF(J$33&gt;G36,(G36-F36)*H36,(J$33-F36)*H36)&gt;0,IF(J$33&gt;G36,(G36-F36)*H36,(J$33-F36)*H36),0)</f>
        <v>0</v>
      </c>
      <c r="K36" s="97"/>
      <c r="L36" s="60">
        <f>'Tax Tables'!F27</f>
        <v>0</v>
      </c>
      <c r="M36" s="65">
        <f>'Tax Tables'!G27</f>
        <v>0</v>
      </c>
      <c r="N36" s="29">
        <f>'Tax Tables'!H27</f>
        <v>0</v>
      </c>
      <c r="O36" s="34">
        <f>IF(IF(O$33&gt;M36,(M36-L36)*N36,(O$33-L36)*N36)&gt;0,IF(O$33&gt;M36,(M36-L36)*N36,(O$33-L36)*N36),0)</f>
        <v>0</v>
      </c>
      <c r="P36" s="11">
        <f>IF(IF(P$33&gt;M36,(M36-L36)*N36,(P$33-L36)*N36)&gt;0,IF(P$33&gt;M36,(M36-L36)*N36,(P$33-L36)*N36),0)</f>
        <v>0</v>
      </c>
    </row>
    <row r="37" spans="3:16" x14ac:dyDescent="0.2">
      <c r="F37" s="60">
        <f>'Tax Tables'!B28</f>
        <v>0</v>
      </c>
      <c r="G37" s="65">
        <f>'Tax Tables'!C28</f>
        <v>0</v>
      </c>
      <c r="H37" s="40">
        <f>'Tax Tables'!D28</f>
        <v>0</v>
      </c>
      <c r="I37" s="34">
        <f>IF(IF(I$33&gt;G37,(G37-F37)*H37,(I$33-F37)*H37)&gt;0,IF(I$33&gt;G37,(G37-F37)*H37,(I$33-F37)*H37),0)</f>
        <v>0</v>
      </c>
      <c r="J37" s="11">
        <f>IF(IF(J$33&gt;G37,(G37-F37)*H37,(J$33-F37)*H37)&gt;0,IF(J$33&gt;G37,(G37-F37)*H37,(J$33-F37)*H37),0)</f>
        <v>0</v>
      </c>
      <c r="K37" s="97"/>
      <c r="L37" s="60">
        <f>'Tax Tables'!F28</f>
        <v>0</v>
      </c>
      <c r="M37" s="65">
        <f>'Tax Tables'!G28</f>
        <v>0</v>
      </c>
      <c r="N37" s="29">
        <f>'Tax Tables'!H28</f>
        <v>0</v>
      </c>
      <c r="O37" s="34">
        <f>IF(IF(O$33&gt;M37,(M37-L37)*N37,(O$33-L37)*N37)&gt;0,IF(O$33&gt;M37,(M37-L37)*N37,(O$33-L37)*N37),0)</f>
        <v>0</v>
      </c>
      <c r="P37" s="11">
        <f>IF(IF(P$33&gt;M37,(M37-L37)*N37,(P$33-L37)*N37)&gt;0,IF(P$33&gt;M37,(M37-L37)*N37,(P$33-L37)*N37),0)</f>
        <v>0</v>
      </c>
    </row>
    <row r="38" spans="3:16" x14ac:dyDescent="0.2">
      <c r="F38" s="60">
        <f>'Tax Tables'!B29</f>
        <v>0</v>
      </c>
      <c r="G38" s="65">
        <f>'Tax Tables'!C29</f>
        <v>0</v>
      </c>
      <c r="H38" s="40">
        <f>'Tax Tables'!D29</f>
        <v>0</v>
      </c>
      <c r="I38" s="34">
        <f>IF(IF(I$33&gt;G38,(G38-F38)*H38,(I$33-F38)*H38)&gt;0,IF(I$33&gt;G38,(G38-F38)*H38,(I$33-F38)*H38),0)</f>
        <v>0</v>
      </c>
      <c r="J38" s="11">
        <f>IF(IF(J$33&gt;G38,(G38-F38)*H38,(J$33-F38)*H38)&gt;0,IF(J$33&gt;G38,(G38-F38)*H38,(J$33-F38)*H38),0)</f>
        <v>0</v>
      </c>
      <c r="K38" s="97"/>
      <c r="L38" s="60">
        <f>'Tax Tables'!F29</f>
        <v>0</v>
      </c>
      <c r="M38" s="65">
        <f>'Tax Tables'!G29</f>
        <v>0</v>
      </c>
      <c r="N38" s="29">
        <f>'Tax Tables'!H29</f>
        <v>0</v>
      </c>
      <c r="O38" s="34">
        <f>IF(IF(O$33&gt;M38,(M38-L38)*N38,(O$33-L38)*N38)&gt;0,IF(O$33&gt;M38,(M38-L38)*N38,(O$33-L38)*N38),0)</f>
        <v>0</v>
      </c>
      <c r="P38" s="11">
        <f>IF(IF(P$33&gt;M38,(M38-L38)*N38,(P$33-L38)*N38)&gt;0,IF(P$33&gt;M38,(M38-L38)*N38,(P$33-L38)*N38),0)</f>
        <v>0</v>
      </c>
    </row>
    <row r="39" spans="3:16" ht="16" thickBot="1" x14ac:dyDescent="0.25">
      <c r="D39" s="18"/>
      <c r="F39" s="91">
        <f>'Tax Tables'!B30</f>
        <v>0</v>
      </c>
      <c r="G39" s="92">
        <f>'Tax Tables'!C30</f>
        <v>0</v>
      </c>
      <c r="H39" s="93">
        <f>'Tax Tables'!D30</f>
        <v>0</v>
      </c>
      <c r="I39" s="35">
        <f>IF(I33&gt;=F39,(I33-F39)*H39,0)</f>
        <v>0</v>
      </c>
      <c r="J39" s="14">
        <f>IF(J33&gt;=F39,(J33-F39)*H39,0)</f>
        <v>0</v>
      </c>
      <c r="K39" s="97"/>
      <c r="L39" s="91">
        <f>'Tax Tables'!F30</f>
        <v>0</v>
      </c>
      <c r="M39" s="92">
        <f>'Tax Tables'!G30</f>
        <v>0</v>
      </c>
      <c r="N39" s="94">
        <f>'Tax Tables'!H30</f>
        <v>0</v>
      </c>
      <c r="O39" s="35">
        <f>IF(O33&gt;=L39,(O33-L39)*N39,0)</f>
        <v>0</v>
      </c>
      <c r="P39" s="14">
        <f>IF(P33&gt;=L39,(P33-L39)*N39,0)</f>
        <v>0</v>
      </c>
    </row>
    <row r="40" spans="3:16" ht="16" thickBot="1" x14ac:dyDescent="0.25">
      <c r="D40" s="4"/>
      <c r="E40" s="1"/>
      <c r="F40" s="96"/>
      <c r="G40" s="97"/>
      <c r="H40" s="97"/>
      <c r="I40" s="97"/>
      <c r="J40" s="97"/>
      <c r="K40" s="97"/>
      <c r="L40" s="97"/>
      <c r="M40" s="97"/>
      <c r="N40" s="97"/>
      <c r="O40" s="97"/>
      <c r="P40" s="98"/>
    </row>
    <row r="41" spans="3:16" ht="16" thickBot="1" x14ac:dyDescent="0.25">
      <c r="E41" s="23"/>
      <c r="F41" s="96"/>
      <c r="G41" s="97"/>
      <c r="H41" s="422" t="s">
        <v>26</v>
      </c>
      <c r="I41" s="423"/>
      <c r="J41" s="104" t="s">
        <v>38</v>
      </c>
      <c r="K41" s="96"/>
      <c r="L41" s="97"/>
      <c r="M41" s="97"/>
      <c r="N41" s="422" t="s">
        <v>26</v>
      </c>
      <c r="O41" s="423"/>
      <c r="P41" s="104" t="s">
        <v>38</v>
      </c>
    </row>
    <row r="42" spans="3:16" ht="16" thickBot="1" x14ac:dyDescent="0.25">
      <c r="F42" s="101"/>
      <c r="G42" s="100"/>
      <c r="H42" s="106">
        <f>SUM(I34:I39)</f>
        <v>25500</v>
      </c>
      <c r="I42" s="106">
        <f>SUM(J34:J39)</f>
        <v>5500</v>
      </c>
      <c r="J42" s="107">
        <f>H42-I42</f>
        <v>20000</v>
      </c>
      <c r="K42" s="101"/>
      <c r="L42" s="100"/>
      <c r="M42" s="100"/>
      <c r="N42" s="106">
        <f>SUM(O34:O39)</f>
        <v>25500</v>
      </c>
      <c r="O42" s="106">
        <f>SUM(P34:P39)</f>
        <v>25500</v>
      </c>
      <c r="P42" s="107">
        <f>N42-O42</f>
        <v>0</v>
      </c>
    </row>
    <row r="43" spans="3:16" ht="16" thickBot="1" x14ac:dyDescent="0.25">
      <c r="C43" s="4"/>
    </row>
    <row r="44" spans="3:16" x14ac:dyDescent="0.2">
      <c r="C44" s="6"/>
      <c r="G44" s="181" t="s">
        <v>90</v>
      </c>
      <c r="H44" s="175">
        <f>'Tax Tables'!$C$34</f>
        <v>3.7999999999999999E-2</v>
      </c>
    </row>
    <row r="45" spans="3:16" ht="16" thickBot="1" x14ac:dyDescent="0.25">
      <c r="C45" s="8"/>
      <c r="G45" s="174">
        <f>SUM(C6:C9)+C11</f>
        <v>0</v>
      </c>
      <c r="H45" s="140">
        <f>IF(C13-C20-IF(C3="Married-Joint",250000,200000)&gt;G45,(C13-C20-IF(C3="Married-Joint",250000,200000))*H44, G45*H44)</f>
        <v>6650</v>
      </c>
    </row>
    <row r="52" spans="2:3" x14ac:dyDescent="0.2">
      <c r="C52" s="18"/>
    </row>
    <row r="53" spans="2:3" x14ac:dyDescent="0.2">
      <c r="B53" s="4"/>
      <c r="C53" s="4"/>
    </row>
  </sheetData>
  <mergeCells count="15">
    <mergeCell ref="F19:P19"/>
    <mergeCell ref="F4:P4"/>
    <mergeCell ref="F6:H6"/>
    <mergeCell ref="L6:N6"/>
    <mergeCell ref="H16:I16"/>
    <mergeCell ref="N16:O16"/>
    <mergeCell ref="H41:I41"/>
    <mergeCell ref="N41:O41"/>
    <mergeCell ref="F21:H21"/>
    <mergeCell ref="L21:N21"/>
    <mergeCell ref="H27:I27"/>
    <mergeCell ref="N27:O27"/>
    <mergeCell ref="F30:P30"/>
    <mergeCell ref="F32:H32"/>
    <mergeCell ref="L32:N3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6502-9FBD-034F-942C-E1659D374325}">
  <dimension ref="B3:Q77"/>
  <sheetViews>
    <sheetView topLeftCell="A12" workbookViewId="0">
      <selection activeCell="J46" sqref="J46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1" width="14" customWidth="1"/>
    <col min="12" max="12" width="2.5" customWidth="1"/>
    <col min="13" max="13" width="14" customWidth="1"/>
    <col min="14" max="14" width="21.33203125" customWidth="1"/>
    <col min="15" max="15" width="13.1640625" customWidth="1"/>
    <col min="16" max="17" width="14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47" t="s">
        <v>1</v>
      </c>
      <c r="C4" s="448"/>
      <c r="D4" s="449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74"/>
      <c r="C5" s="75"/>
      <c r="D5" s="57" t="s">
        <v>29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27" t="s">
        <v>13</v>
      </c>
      <c r="C6" s="148" t="str">
        <f>'Strategy comparison'!C4</f>
        <v>Married-Joint</v>
      </c>
      <c r="D6" s="58" t="s">
        <v>0</v>
      </c>
      <c r="G6" s="419" t="s">
        <v>17</v>
      </c>
      <c r="H6" s="420"/>
      <c r="I6" s="421"/>
      <c r="J6" s="7" t="s">
        <v>100</v>
      </c>
      <c r="K6" s="7" t="s">
        <v>103</v>
      </c>
      <c r="M6" s="419" t="s">
        <v>19</v>
      </c>
      <c r="N6" s="420"/>
      <c r="O6" s="421"/>
      <c r="P6" s="7" t="s">
        <v>100</v>
      </c>
      <c r="Q6" s="7" t="s">
        <v>103</v>
      </c>
    </row>
    <row r="7" spans="2:17" ht="16" thickBot="1" x14ac:dyDescent="0.25">
      <c r="B7" s="27" t="s">
        <v>14</v>
      </c>
      <c r="C7" s="89">
        <f>'Strategy comparison'!C5</f>
        <v>400000</v>
      </c>
      <c r="D7" s="42">
        <v>0.5</v>
      </c>
      <c r="G7" s="116"/>
      <c r="H7" s="117"/>
      <c r="I7" s="82"/>
      <c r="J7" s="142">
        <f>C13</f>
        <v>400000</v>
      </c>
      <c r="K7" s="69">
        <f>J7-MIN(C23,J7)</f>
        <v>403550</v>
      </c>
      <c r="L7" s="97"/>
      <c r="M7" s="116"/>
      <c r="N7" s="117"/>
      <c r="O7" s="82"/>
      <c r="P7" s="39">
        <f>J7</f>
        <v>400000</v>
      </c>
      <c r="Q7" s="95">
        <f>K7</f>
        <v>403550</v>
      </c>
    </row>
    <row r="8" spans="2:17" x14ac:dyDescent="0.2">
      <c r="B8" s="27" t="s">
        <v>15</v>
      </c>
      <c r="C8" s="52">
        <f>'Strategy comparison'!C6</f>
        <v>0</v>
      </c>
      <c r="D8" s="61"/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38">
        <f t="shared" ref="Q8:Q13" si="3">IF(IF(Q$7&gt;N8,(N8-M8)*O8,(Q$7-M8)*O8)&gt;0,IF(Q$7&gt;N8,(N8-M8)*O8,(Q$7-M8)*O8),0)</f>
        <v>1240</v>
      </c>
    </row>
    <row r="9" spans="2:17" ht="16" thickBot="1" x14ac:dyDescent="0.25">
      <c r="B9" s="27" t="s">
        <v>16</v>
      </c>
      <c r="C9" s="52">
        <f>'Strategy comparison'!C7</f>
        <v>0</v>
      </c>
      <c r="D9" s="62" t="s">
        <v>72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1">
        <f t="shared" si="3"/>
        <v>4559.88</v>
      </c>
    </row>
    <row r="10" spans="2:17" ht="16" thickBot="1" x14ac:dyDescent="0.25">
      <c r="B10" s="27" t="s">
        <v>96</v>
      </c>
      <c r="C10" s="52">
        <f>'Strategy comparison'!C9</f>
        <v>0</v>
      </c>
      <c r="D10" s="63">
        <v>5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1">
        <f t="shared" si="3"/>
        <v>12165.78</v>
      </c>
    </row>
    <row r="11" spans="2:17" x14ac:dyDescent="0.2">
      <c r="B11" s="27" t="s">
        <v>98</v>
      </c>
      <c r="C11" s="52">
        <f>'Strategy comparison'!C10</f>
        <v>0</v>
      </c>
      <c r="D11" s="2" t="s">
        <v>32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1">
        <f t="shared" si="1"/>
        <v>46115.759999999995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1">
        <f t="shared" si="3"/>
        <v>23057.759999999998</v>
      </c>
    </row>
    <row r="12" spans="2:17" x14ac:dyDescent="0.2">
      <c r="B12" s="27" t="s">
        <v>97</v>
      </c>
      <c r="C12" s="52">
        <f>'Strategy comparison'!C11</f>
        <v>0</v>
      </c>
      <c r="D12" s="3" t="s">
        <v>34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1">
        <f t="shared" si="1"/>
        <v>0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1">
        <f t="shared" si="3"/>
        <v>17423.68</v>
      </c>
    </row>
    <row r="13" spans="2:17" ht="16" thickBot="1" x14ac:dyDescent="0.25">
      <c r="B13" s="27" t="s">
        <v>100</v>
      </c>
      <c r="C13" s="49">
        <f>SUM(C7:C10)+C12</f>
        <v>400000</v>
      </c>
      <c r="D13" s="5">
        <f>C23/D10</f>
        <v>-710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1">
        <f t="shared" si="1"/>
        <v>0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1">
        <f t="shared" si="3"/>
        <v>51563.399999999994</v>
      </c>
    </row>
    <row r="14" spans="2:17" ht="16" thickBot="1" x14ac:dyDescent="0.25">
      <c r="B14" s="27" t="s">
        <v>20</v>
      </c>
      <c r="C14" s="49">
        <f>'Strategy comparison'!C8</f>
        <v>0</v>
      </c>
      <c r="D14" s="3" t="s">
        <v>35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4">
        <f>IF(K7&gt;=G14,(K7-G14)*I14,0)</f>
        <v>0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4">
        <f>IF(Q7&gt;=M14,(Q7-M14)*O14,0)</f>
        <v>0</v>
      </c>
    </row>
    <row r="15" spans="2:17" ht="16" thickBot="1" x14ac:dyDescent="0.25">
      <c r="B15" s="27" t="s">
        <v>101</v>
      </c>
      <c r="C15" s="49">
        <f>C14+C11</f>
        <v>0</v>
      </c>
      <c r="D15" s="147">
        <v>0</v>
      </c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8"/>
    </row>
    <row r="16" spans="2:17" ht="16" thickBot="1" x14ac:dyDescent="0.25">
      <c r="B16" s="27" t="s">
        <v>18</v>
      </c>
      <c r="C16" s="49">
        <f>C13+C15</f>
        <v>400000</v>
      </c>
      <c r="D16" s="68" t="s">
        <v>36</v>
      </c>
      <c r="G16" s="103"/>
      <c r="H16" s="97"/>
      <c r="I16" s="422" t="s">
        <v>26</v>
      </c>
      <c r="J16" s="423"/>
      <c r="K16" s="104" t="s">
        <v>38</v>
      </c>
      <c r="L16" s="96"/>
      <c r="M16" s="97"/>
      <c r="N16" s="97"/>
      <c r="O16" s="422" t="s">
        <v>26</v>
      </c>
      <c r="P16" s="423"/>
      <c r="Q16" s="104" t="s">
        <v>38</v>
      </c>
    </row>
    <row r="17" spans="2:17" ht="16" thickBot="1" x14ac:dyDescent="0.25">
      <c r="B17" s="28" t="s">
        <v>21</v>
      </c>
      <c r="C17" s="49">
        <f>IF(C6="Single",O17,IF(C6="Married-Joint",I17,"Filing Status?"))</f>
        <v>81195.419999999984</v>
      </c>
      <c r="D17" s="129">
        <f>D13*(1-D15)</f>
        <v>-710</v>
      </c>
      <c r="G17" s="105"/>
      <c r="H17" s="100"/>
      <c r="I17" s="106">
        <f>SUM(J8:J14)</f>
        <v>81195.419999999984</v>
      </c>
      <c r="J17" s="106">
        <f>SUM(K8:K14)</f>
        <v>82047.419999999984</v>
      </c>
      <c r="K17" s="107">
        <f>I17-J17</f>
        <v>-852</v>
      </c>
      <c r="L17" s="101"/>
      <c r="M17" s="100"/>
      <c r="N17" s="100"/>
      <c r="O17" s="106">
        <f>SUM(P8:P14)</f>
        <v>108768</v>
      </c>
      <c r="P17" s="106">
        <f>SUM(Q8:Q14)</f>
        <v>110010.5</v>
      </c>
      <c r="Q17" s="107">
        <f>O17-P17</f>
        <v>-1242.5</v>
      </c>
    </row>
    <row r="18" spans="2:17" ht="16" thickBot="1" x14ac:dyDescent="0.25">
      <c r="B18" s="28" t="s">
        <v>23</v>
      </c>
      <c r="C18" s="49">
        <f>IF(C6="Single",O28,IF(C6="Married-Joint",I28,"Filing Status?"))</f>
        <v>0</v>
      </c>
      <c r="D18" s="68" t="s">
        <v>7</v>
      </c>
      <c r="G18" s="6"/>
    </row>
    <row r="19" spans="2:17" ht="16" thickBot="1" x14ac:dyDescent="0.25">
      <c r="B19" s="28" t="s">
        <v>22</v>
      </c>
      <c r="C19" s="52">
        <f>IF(C6="Single",O42,IF(C6="Married-Joint",I42,"Filing Status?"))</f>
        <v>12000</v>
      </c>
      <c r="D19" s="90">
        <f>'Strategy comparison'!C12</f>
        <v>0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27" t="s">
        <v>24</v>
      </c>
      <c r="C20" s="50">
        <f>SUM(C17:C19)+J46</f>
        <v>100930.31999999998</v>
      </c>
      <c r="D20" s="3" t="s">
        <v>40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27" t="s">
        <v>25</v>
      </c>
      <c r="C21" s="152">
        <f>C20/SUM(C13:C14)</f>
        <v>0.25232579999999993</v>
      </c>
      <c r="D21" s="5">
        <f>SUM(D17,D19)</f>
        <v>-710</v>
      </c>
      <c r="G21" s="419" t="s">
        <v>17</v>
      </c>
      <c r="H21" s="420"/>
      <c r="I21" s="421"/>
      <c r="J21" s="188" t="s">
        <v>108</v>
      </c>
      <c r="K21" s="189" t="s">
        <v>109</v>
      </c>
      <c r="L21" s="97"/>
      <c r="M21" s="419" t="s">
        <v>19</v>
      </c>
      <c r="N21" s="420"/>
      <c r="O21" s="421"/>
      <c r="P21" s="188" t="s">
        <v>108</v>
      </c>
      <c r="Q21" s="189" t="s">
        <v>109</v>
      </c>
    </row>
    <row r="22" spans="2:17" ht="16" thickBot="1" x14ac:dyDescent="0.25">
      <c r="B22" s="26"/>
      <c r="C22" s="55"/>
      <c r="G22" s="118"/>
      <c r="H22" s="119"/>
      <c r="I22" s="120"/>
      <c r="J22" s="144">
        <f>C45</f>
        <v>0</v>
      </c>
      <c r="K22" s="144">
        <f>J22-IF((C23)&gt;J7, (C23)-J7,0)</f>
        <v>0</v>
      </c>
      <c r="L22" s="97"/>
      <c r="M22" s="116"/>
      <c r="N22" s="117"/>
      <c r="O22" s="82"/>
      <c r="P22" s="144">
        <f>C45</f>
        <v>0</v>
      </c>
      <c r="Q22" s="144">
        <f>P22-IF((C23)&gt;P7, (C23)-P7,0)</f>
        <v>0</v>
      </c>
    </row>
    <row r="23" spans="2:17" ht="16" thickBot="1" x14ac:dyDescent="0.25">
      <c r="B23" s="26" t="s">
        <v>37</v>
      </c>
      <c r="C23" s="51">
        <f>IF('Strategy comparison'!J18="",MIN((J7+J22)*D7,J7-IF(C6="Married-Joint",H11,N11)),'Strategy comparison'!J18)</f>
        <v>-3550</v>
      </c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81">
        <f t="shared" si="4"/>
        <v>0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81">
        <f t="shared" si="5"/>
        <v>0</v>
      </c>
    </row>
    <row r="24" spans="2:17" ht="16" thickBot="1" x14ac:dyDescent="0.25">
      <c r="B24" s="26" t="s">
        <v>39</v>
      </c>
      <c r="C24" s="51">
        <f>C16-C23</f>
        <v>403550</v>
      </c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81">
        <f t="shared" si="4"/>
        <v>0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81">
        <f t="shared" si="5"/>
        <v>0</v>
      </c>
    </row>
    <row r="25" spans="2:17" ht="16" thickBot="1" x14ac:dyDescent="0.25">
      <c r="B25" s="27" t="s">
        <v>41</v>
      </c>
      <c r="C25" s="52">
        <f>IF(C6="Single",P17,IF(C6="Married-Joint",J17,"Filing Status?"))</f>
        <v>82047.419999999984</v>
      </c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81">
        <f t="shared" si="4"/>
        <v>0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81">
        <f t="shared" si="5"/>
        <v>0</v>
      </c>
    </row>
    <row r="26" spans="2:17" ht="16" thickBot="1" x14ac:dyDescent="0.25">
      <c r="B26" s="27" t="s">
        <v>42</v>
      </c>
      <c r="C26" s="56">
        <f>IF(C6="Single",O42,IF(C6="Married-Joint",I42,"Filing Status?"))</f>
        <v>12000</v>
      </c>
      <c r="E26" s="6"/>
      <c r="G26" s="96"/>
      <c r="H26" s="97"/>
      <c r="I26" s="97"/>
      <c r="J26" s="97"/>
      <c r="K26" s="102"/>
      <c r="L26" s="97"/>
      <c r="M26" s="97"/>
      <c r="N26" s="97"/>
      <c r="O26" s="97"/>
      <c r="P26" s="97"/>
      <c r="Q26" s="108"/>
    </row>
    <row r="27" spans="2:17" ht="16" thickBot="1" x14ac:dyDescent="0.25">
      <c r="B27" s="27" t="s">
        <v>158</v>
      </c>
      <c r="C27" s="56">
        <f>IF(C6="Single",P28,IF(C6="Married-Joint",J28,"Filing Status?"))</f>
        <v>0</v>
      </c>
      <c r="G27" s="96"/>
      <c r="H27" s="97"/>
      <c r="I27" s="422" t="s">
        <v>26</v>
      </c>
      <c r="J27" s="423"/>
      <c r="K27" s="109" t="s">
        <v>38</v>
      </c>
      <c r="L27" s="97"/>
      <c r="M27" s="97"/>
      <c r="N27" s="97"/>
      <c r="O27" s="422" t="s">
        <v>26</v>
      </c>
      <c r="P27" s="423"/>
      <c r="Q27" s="109" t="s">
        <v>38</v>
      </c>
    </row>
    <row r="28" spans="2:17" ht="16" thickBot="1" x14ac:dyDescent="0.25">
      <c r="B28" s="27" t="s">
        <v>43</v>
      </c>
      <c r="C28" s="50">
        <f>SUM(C25:C27)+J46</f>
        <v>101782.31999999998</v>
      </c>
      <c r="D28" s="6"/>
      <c r="G28" s="101"/>
      <c r="H28" s="100"/>
      <c r="I28" s="110">
        <f>SUM(J23:J25)</f>
        <v>0</v>
      </c>
      <c r="J28" s="111">
        <f>SUM(K23:K25)</f>
        <v>0</v>
      </c>
      <c r="K28" s="112">
        <f>I28-J28</f>
        <v>0</v>
      </c>
      <c r="L28" s="101"/>
      <c r="M28" s="100"/>
      <c r="N28" s="100"/>
      <c r="O28" s="110">
        <f>SUM(P23:P25)</f>
        <v>0</v>
      </c>
      <c r="P28" s="111">
        <f>SUM(Q23:Q25)</f>
        <v>0</v>
      </c>
      <c r="Q28" s="111">
        <f>O28-P28</f>
        <v>0</v>
      </c>
    </row>
    <row r="29" spans="2:17" ht="16" thickBot="1" x14ac:dyDescent="0.25">
      <c r="B29" s="47" t="s">
        <v>45</v>
      </c>
      <c r="C29" s="64">
        <f>D21</f>
        <v>-710</v>
      </c>
    </row>
    <row r="30" spans="2:17" x14ac:dyDescent="0.2">
      <c r="B30" s="26" t="s">
        <v>25</v>
      </c>
      <c r="C30" s="53">
        <f>(C28+C29)/SUM(C13:C14)</f>
        <v>0.25268079999999993</v>
      </c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 s="27" t="s">
        <v>44</v>
      </c>
      <c r="C31" s="52">
        <f>C20-C28</f>
        <v>-852</v>
      </c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 s="24" t="s">
        <v>86</v>
      </c>
      <c r="C32" s="54">
        <f>C31-C29</f>
        <v>-142</v>
      </c>
      <c r="F32" s="145"/>
      <c r="G32" s="419" t="s">
        <v>17</v>
      </c>
      <c r="H32" s="420"/>
      <c r="I32" s="421"/>
      <c r="J32" s="7" t="s">
        <v>18</v>
      </c>
      <c r="K32" s="7" t="s">
        <v>113</v>
      </c>
      <c r="L32" s="97"/>
      <c r="M32" s="419" t="s">
        <v>19</v>
      </c>
      <c r="N32" s="420"/>
      <c r="O32" s="421"/>
      <c r="P32" s="7" t="s">
        <v>18</v>
      </c>
      <c r="Q32" s="7" t="s">
        <v>113</v>
      </c>
    </row>
    <row r="33" spans="2:17" ht="16" thickBot="1" x14ac:dyDescent="0.25">
      <c r="B33"/>
      <c r="F33" s="145"/>
      <c r="G33" s="9"/>
      <c r="J33" s="144">
        <f>C16</f>
        <v>400000</v>
      </c>
      <c r="K33" s="144">
        <f ca="1">J33-E47</f>
        <v>367263.00029880065</v>
      </c>
      <c r="L33" s="97"/>
      <c r="M33" s="9"/>
      <c r="P33" s="20">
        <f>J33</f>
        <v>400000</v>
      </c>
      <c r="Q33" s="20">
        <f ca="1">P33-E47</f>
        <v>367263.00029880065</v>
      </c>
    </row>
    <row r="34" spans="2:17" x14ac:dyDescent="0.2"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38">
        <f ca="1">IF(IF(K$33&gt;H34,(H34-G34)*I34,(K$33-G34)*I34)&gt;0,IF(K$33&gt;H34,(H34-G34)*I34,(K$33-G34)*I34),0)</f>
        <v>11017.890008964019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38">
        <f ca="1">IF(IF(Q$33&gt;N34,(N34-M34)*O34,(Q$33-M34)*O34)&gt;0,IF(Q$33&gt;N34,(N34-M34)*O34,(Q$33-M34)*O34),0)</f>
        <v>11017.890008964019</v>
      </c>
    </row>
    <row r="35" spans="2:17" ht="16" thickBot="1" x14ac:dyDescent="0.25"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 ca="1"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1">
        <f ca="1">IF(IF(Q$33&gt;N35,(N35-M35)*O35,(Q$33-M35)*O35)&gt;0,IF(Q$33&gt;N35,(N35-M35)*O35,(Q$33-M35)*O35),0)</f>
        <v>0</v>
      </c>
    </row>
    <row r="36" spans="2:17" ht="16" thickBot="1" x14ac:dyDescent="0.25">
      <c r="B36" s="406" t="s">
        <v>81</v>
      </c>
      <c r="C36" s="408"/>
      <c r="D36" s="407" t="s">
        <v>79</v>
      </c>
      <c r="E36" s="408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 ca="1"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1">
        <f ca="1">IF(IF(Q$33&gt;N36,(N36-M36)*O36,(Q$33-M36)*O36)&gt;0,IF(Q$33&gt;N36,(N36-M36)*O36,(Q$33-M36)*O36),0)</f>
        <v>0</v>
      </c>
    </row>
    <row r="37" spans="2:17" ht="16" thickBot="1" x14ac:dyDescent="0.25">
      <c r="B37" s="83" t="s">
        <v>13</v>
      </c>
      <c r="C37" s="134" t="str">
        <f>'Strategy comparison'!C4</f>
        <v>Married-Joint</v>
      </c>
      <c r="D37" s="182" t="s">
        <v>91</v>
      </c>
      <c r="E37" s="183">
        <f>IF(C37="Married-Joint",J17+J28+J46,IF(C37="Single",P17+P28+J46,"Filing Status?"))</f>
        <v>89782.319999999978</v>
      </c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 ca="1"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1">
        <f ca="1">IF(IF(Q$33&gt;N37,(N37-M37)*O37,(Q$33-M37)*O37)&gt;0,IF(Q$33&gt;N37,(N37-M37)*O37,(Q$33-M37)*O37),0)</f>
        <v>0</v>
      </c>
    </row>
    <row r="38" spans="2:17" x14ac:dyDescent="0.2">
      <c r="B38" s="9" t="s">
        <v>14</v>
      </c>
      <c r="C38" s="135">
        <f>'Strategy comparison'!C5</f>
        <v>400000</v>
      </c>
      <c r="D38" s="132" t="s">
        <v>67</v>
      </c>
      <c r="E38" s="138">
        <f ca="1">C49</f>
        <v>73723.341509698395</v>
      </c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 ca="1"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1">
        <f ca="1">IF(IF(Q$33&gt;N38,(N38-M38)*O38,(Q$33-M38)*O38)&gt;0,IF(Q$33&gt;N38,(N38-M38)*O38,(Q$33-M38)*O38),0)</f>
        <v>0</v>
      </c>
    </row>
    <row r="39" spans="2:17" ht="16" thickBot="1" x14ac:dyDescent="0.25">
      <c r="B39" s="9" t="s">
        <v>15</v>
      </c>
      <c r="C39" s="135">
        <f>'Strategy comparison'!C6</f>
        <v>0</v>
      </c>
      <c r="D39" s="133" t="s">
        <v>68</v>
      </c>
      <c r="E39" s="139">
        <f ca="1">E40-E38</f>
        <v>131038.77870613051</v>
      </c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14">
        <f ca="1">IF(K33&gt;=G39,(K33-G39)*I39,0)</f>
        <v>0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14">
        <f ca="1">IF(Q33&gt;=M39,(Q33-M39)*O39,0)</f>
        <v>0</v>
      </c>
    </row>
    <row r="40" spans="2:17" ht="16" thickBot="1" x14ac:dyDescent="0.25">
      <c r="B40" s="9" t="s">
        <v>16</v>
      </c>
      <c r="C40" s="135">
        <f>'Strategy comparison'!C7</f>
        <v>0</v>
      </c>
      <c r="D40" s="133" t="s">
        <v>69</v>
      </c>
      <c r="E40" s="139">
        <f ca="1">C49/C47</f>
        <v>204787.0597491622</v>
      </c>
      <c r="F40" s="141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8"/>
    </row>
    <row r="41" spans="2:17" ht="16" thickBot="1" x14ac:dyDescent="0.25">
      <c r="B41" s="9" t="s">
        <v>96</v>
      </c>
      <c r="C41" s="135">
        <f>C10</f>
        <v>0</v>
      </c>
      <c r="D41" s="133" t="s">
        <v>70</v>
      </c>
      <c r="E41" s="139">
        <f ca="1">E40*C48</f>
        <v>81914.823899664887</v>
      </c>
      <c r="F41" s="141"/>
      <c r="G41" s="96"/>
      <c r="H41" s="97"/>
      <c r="I41" s="422" t="s">
        <v>26</v>
      </c>
      <c r="J41" s="423"/>
      <c r="K41" s="104" t="s">
        <v>38</v>
      </c>
      <c r="L41" s="96"/>
      <c r="M41" s="97"/>
      <c r="N41" s="97"/>
      <c r="O41" s="422" t="s">
        <v>26</v>
      </c>
      <c r="P41" s="423"/>
      <c r="Q41" s="104" t="s">
        <v>38</v>
      </c>
    </row>
    <row r="42" spans="2:17" ht="16" thickBot="1" x14ac:dyDescent="0.25">
      <c r="B42" s="9" t="s">
        <v>98</v>
      </c>
      <c r="C42" s="135">
        <f>C11</f>
        <v>0</v>
      </c>
      <c r="D42" s="9" t="s">
        <v>76</v>
      </c>
      <c r="E42" s="135">
        <f ca="1">E48</f>
        <v>7856.8799282878317</v>
      </c>
      <c r="G42" s="101"/>
      <c r="H42" s="100"/>
      <c r="I42" s="106">
        <f>SUM(J34:J39)</f>
        <v>12000</v>
      </c>
      <c r="J42" s="106">
        <f ca="1">SUM(K34:K39)</f>
        <v>11017.890008964019</v>
      </c>
      <c r="K42" s="107">
        <f ca="1">I42-J42</f>
        <v>982.10999103598078</v>
      </c>
      <c r="L42" s="101"/>
      <c r="M42" s="100"/>
      <c r="N42" s="100"/>
      <c r="O42" s="106">
        <f>SUM(P34:P39)</f>
        <v>12000</v>
      </c>
      <c r="P42" s="106">
        <f ca="1">SUM(Q34:Q39)</f>
        <v>11017.890008964019</v>
      </c>
      <c r="Q42" s="107">
        <f ca="1">O42-P42</f>
        <v>982.10999103598078</v>
      </c>
    </row>
    <row r="43" spans="2:17" x14ac:dyDescent="0.2">
      <c r="B43" s="9" t="s">
        <v>97</v>
      </c>
      <c r="C43" s="135">
        <f>C12</f>
        <v>0</v>
      </c>
      <c r="D43" s="77" t="s">
        <v>85</v>
      </c>
      <c r="E43" s="184">
        <f ca="1">SUM(E41:E42)</f>
        <v>89771.703827952719</v>
      </c>
    </row>
    <row r="44" spans="2:17" ht="16" thickBot="1" x14ac:dyDescent="0.25">
      <c r="B44" s="9" t="s">
        <v>100</v>
      </c>
      <c r="C44" s="135">
        <f>C13</f>
        <v>400000</v>
      </c>
      <c r="D44" s="150" t="s">
        <v>87</v>
      </c>
      <c r="E44" s="151">
        <f ca="1">E43-C49+K42</f>
        <v>17030.472309290304</v>
      </c>
    </row>
    <row r="45" spans="2:17" x14ac:dyDescent="0.2">
      <c r="B45" s="9" t="s">
        <v>20</v>
      </c>
      <c r="C45" s="135">
        <f>'Strategy comparison'!C8+C42</f>
        <v>0</v>
      </c>
      <c r="D45" s="9" t="s">
        <v>71</v>
      </c>
      <c r="E45" s="135">
        <f ca="1">E40-(E41/2)</f>
        <v>163829.64779932977</v>
      </c>
      <c r="I45" s="181" t="s">
        <v>90</v>
      </c>
      <c r="J45" s="175">
        <f>'Tax Tables'!$C$34</f>
        <v>3.7999999999999999E-2</v>
      </c>
    </row>
    <row r="46" spans="2:17" ht="16" thickBot="1" x14ac:dyDescent="0.25">
      <c r="B46" s="9" t="s">
        <v>33</v>
      </c>
      <c r="C46" s="135">
        <f>SUM(C44:C45)</f>
        <v>400000</v>
      </c>
      <c r="D46" s="9" t="s">
        <v>68</v>
      </c>
      <c r="E46" s="135">
        <f ca="1">E39</f>
        <v>131038.77870613051</v>
      </c>
      <c r="I46" s="174">
        <f>SUM(C9:C12)+C14</f>
        <v>0</v>
      </c>
      <c r="J46" s="140">
        <f>IF(C16-C23-IF(C6="Married-Joint",250000,200000)&gt;I46,(C16-C23-IF(D6="Married-Joint",250000,200000))*J45, I46*J45)</f>
        <v>7734.9</v>
      </c>
    </row>
    <row r="47" spans="2:17" x14ac:dyDescent="0.2">
      <c r="B47" s="9" t="s">
        <v>73</v>
      </c>
      <c r="C47" s="136">
        <v>0.36</v>
      </c>
      <c r="D47" s="9" t="s">
        <v>75</v>
      </c>
      <c r="E47" s="135">
        <f ca="1">E45-E46</f>
        <v>32790.869093199261</v>
      </c>
    </row>
    <row r="48" spans="2:17" ht="16" thickBot="1" x14ac:dyDescent="0.25">
      <c r="B48" s="9" t="s">
        <v>74</v>
      </c>
      <c r="C48" s="136">
        <v>0.4</v>
      </c>
      <c r="D48" s="15" t="s">
        <v>76</v>
      </c>
      <c r="E48" s="140">
        <f ca="1">IF($C$37="Married-Joint",
    J17-((MAX(0,MIN(K7-E47,H8)-G8)*I8)
        +(MAX(0,MIN(K7-E47,H9)-G9)*I9)
        +(MAX(0,MIN(K7-E47,H10)-G10)*I10)
        +(MAX(0,MIN(K7-E47,H11)-G11)*I11)
        +(MAX(0,MIN(K7-E47,H12)-G12)*I12)
        +(MAX(0,MIN(K7-E47,H13)-G13)*I13)
        +(MAX(0,MIN(K7-E47,H14)-G14)*I14)),
    P17-((MAX(0,MIN(Q7-E47,N8)-M8)*O8)
        +(MAX(0,MIN(Q7-E47,N9)-M9)*O9)
        +(MAX(0,MIN(Q7-E47,N10)-M10)*O10)
        +(MAX(0,MIN(Q7-E47,N11)-M11)*O11)
        +(MAX(0,MIN(Q7-E47,N12)-M12)*O12)
        +(MAX(0,MIN(Q7-E47,N13)-M13)*O13)
        +(MAX(0,MIN(Q7-E47,N14)-M14)*O14))
)</f>
        <v>7869.8085823678121</v>
      </c>
    </row>
    <row r="49" spans="2:5" ht="16" thickBot="1" x14ac:dyDescent="0.25">
      <c r="B49" s="227" t="s">
        <v>77</v>
      </c>
      <c r="C49" s="228">
        <f ca="1">IF('Strategy comparison'!J20="",IF(E43&gt;E37,IF(ABS(E37-E43)&gt;10000,C49-(0.01*E37),C49-(0.0001*E37)),IF(ABS(E37-E43)&gt;10000,C49+(0.01*E37),C49+(0.0001*E37))),'Strategy comparison'!J20)</f>
        <v>73732.319741698389</v>
      </c>
    </row>
    <row r="50" spans="2:5" x14ac:dyDescent="0.2">
      <c r="B50"/>
      <c r="C50" s="153"/>
    </row>
    <row r="51" spans="2:5" ht="16" thickBot="1" x14ac:dyDescent="0.25">
      <c r="B51" s="146"/>
    </row>
    <row r="52" spans="2:5" ht="16" thickBot="1" x14ac:dyDescent="0.25">
      <c r="B52" s="450" t="s">
        <v>92</v>
      </c>
      <c r="C52" s="451"/>
    </row>
    <row r="53" spans="2:5" x14ac:dyDescent="0.2">
      <c r="B53" s="83" t="s">
        <v>86</v>
      </c>
      <c r="C53" s="186">
        <f>C32</f>
        <v>-142</v>
      </c>
      <c r="E53" s="6"/>
    </row>
    <row r="54" spans="2:5" x14ac:dyDescent="0.2">
      <c r="B54" s="9" t="s">
        <v>88</v>
      </c>
      <c r="C54" s="135">
        <f ca="1">E44</f>
        <v>17030.472309290304</v>
      </c>
    </row>
    <row r="55" spans="2:5" x14ac:dyDescent="0.2">
      <c r="B55" s="77" t="s">
        <v>89</v>
      </c>
      <c r="C55" s="184">
        <f ca="1">SUM(C53:C54)</f>
        <v>16888.472309290304</v>
      </c>
    </row>
    <row r="56" spans="2:5" ht="16" thickBot="1" x14ac:dyDescent="0.25">
      <c r="B56" s="24" t="s">
        <v>25</v>
      </c>
      <c r="C56" s="185">
        <f ca="1">(C29+C49+J42)/C16</f>
        <v>0.21010052437665602</v>
      </c>
    </row>
    <row r="57" spans="2:5" ht="16" thickBot="1" x14ac:dyDescent="0.25">
      <c r="B57"/>
    </row>
    <row r="58" spans="2:5" ht="16" thickBot="1" x14ac:dyDescent="0.25">
      <c r="B58" s="288" t="s">
        <v>157</v>
      </c>
      <c r="C58" s="287">
        <f ca="1">IF(ABS(('Solar &amp; Charitable'!C25+'Solar &amp; Charitable'!C27+'Solar &amp; Charitable'!J46)-MAX(MIN('Solar &amp; Charitable'!E43,('Solar &amp; Charitable'!C25+'Solar &amp; Charitable'!C27+'Solar &amp; Charitable'!J46)),0))&gt;1000,('Solar &amp; Charitable'!C25+'Solar &amp; Charitable'!C27+'Solar &amp; Charitable'!J46)-MAX(MIN('Solar &amp; Charitable'!E43,('Solar &amp; Charitable'!C25+'Solar &amp; Charitable'!C27+'Solar &amp; Charitable'!J46)),0),0)</f>
        <v>0</v>
      </c>
    </row>
    <row r="59" spans="2:5" x14ac:dyDescent="0.2">
      <c r="B59"/>
    </row>
    <row r="60" spans="2:5" x14ac:dyDescent="0.2">
      <c r="B60"/>
    </row>
    <row r="61" spans="2:5" x14ac:dyDescent="0.2">
      <c r="B61"/>
    </row>
    <row r="62" spans="2:5" x14ac:dyDescent="0.2">
      <c r="B62"/>
    </row>
    <row r="63" spans="2:5" x14ac:dyDescent="0.2">
      <c r="B63"/>
    </row>
    <row r="64" spans="2:5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</sheetData>
  <scenarios current="0" sqref="H29">
    <scenario name="test1" locked="1" count="1" user="Microsoft Office User" comment="Created by Microsoft Office User on 8/21/2025_x000a_Modified by Microsoft Office User on 8/23/2025">
      <inputCells r="D7" val="0.5" numFmtId="9"/>
    </scenario>
  </scenarios>
  <mergeCells count="19">
    <mergeCell ref="B52:C52"/>
    <mergeCell ref="B36:C36"/>
    <mergeCell ref="G19:Q19"/>
    <mergeCell ref="G21:I21"/>
    <mergeCell ref="M21:O21"/>
    <mergeCell ref="I27:J27"/>
    <mergeCell ref="O27:P27"/>
    <mergeCell ref="G30:Q30"/>
    <mergeCell ref="D36:E36"/>
    <mergeCell ref="G32:I32"/>
    <mergeCell ref="M32:O32"/>
    <mergeCell ref="I41:J41"/>
    <mergeCell ref="O41:P41"/>
    <mergeCell ref="B4:D4"/>
    <mergeCell ref="G4:Q4"/>
    <mergeCell ref="G6:I6"/>
    <mergeCell ref="M6:O6"/>
    <mergeCell ref="I16:J16"/>
    <mergeCell ref="O16:P16"/>
  </mergeCells>
  <pageMargins left="0.7" right="0.7" top="0.75" bottom="0.75" header="0.3" footer="0.3"/>
  <pageSetup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6B9C-DB38-894D-8C5E-73D544AC3DB3}">
  <dimension ref="B3:Q77"/>
  <sheetViews>
    <sheetView topLeftCell="A29" workbookViewId="0">
      <selection activeCell="H47" sqref="H47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1" width="14" customWidth="1"/>
    <col min="12" max="12" width="2.5" customWidth="1"/>
    <col min="13" max="13" width="14" customWidth="1"/>
    <col min="14" max="14" width="21.33203125" customWidth="1"/>
    <col min="15" max="15" width="13.1640625" customWidth="1"/>
    <col min="16" max="17" width="14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47" t="s">
        <v>1</v>
      </c>
      <c r="C4" s="448"/>
      <c r="D4" s="449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74"/>
      <c r="C5" s="75"/>
      <c r="D5" s="57" t="s">
        <v>29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27" t="s">
        <v>13</v>
      </c>
      <c r="C6" s="148" t="str">
        <f>'Strategy comparison'!C4</f>
        <v>Married-Joint</v>
      </c>
      <c r="D6" s="58" t="s">
        <v>0</v>
      </c>
      <c r="G6" s="419" t="s">
        <v>17</v>
      </c>
      <c r="H6" s="420"/>
      <c r="I6" s="421"/>
      <c r="J6" s="7" t="s">
        <v>100</v>
      </c>
      <c r="K6" s="7" t="s">
        <v>103</v>
      </c>
      <c r="M6" s="419" t="s">
        <v>19</v>
      </c>
      <c r="N6" s="420"/>
      <c r="O6" s="421"/>
      <c r="P6" s="7" t="s">
        <v>100</v>
      </c>
      <c r="Q6" s="7" t="s">
        <v>103</v>
      </c>
    </row>
    <row r="7" spans="2:17" ht="16" thickBot="1" x14ac:dyDescent="0.25">
      <c r="B7" s="27" t="s">
        <v>14</v>
      </c>
      <c r="C7" s="89">
        <f>'Strategy comparison'!C5</f>
        <v>400000</v>
      </c>
      <c r="D7" s="42">
        <v>0.5</v>
      </c>
      <c r="G7" s="116"/>
      <c r="H7" s="117"/>
      <c r="I7" s="82"/>
      <c r="J7" s="142">
        <f>C13</f>
        <v>400000</v>
      </c>
      <c r="K7" s="69">
        <f>J7-MIN(C23,J7)</f>
        <v>403550</v>
      </c>
      <c r="L7" s="97"/>
      <c r="M7" s="116"/>
      <c r="N7" s="117"/>
      <c r="O7" s="82"/>
      <c r="P7" s="39">
        <f>J7</f>
        <v>400000</v>
      </c>
      <c r="Q7" s="95">
        <f>K7</f>
        <v>403550</v>
      </c>
    </row>
    <row r="8" spans="2:17" x14ac:dyDescent="0.2">
      <c r="B8" s="27" t="s">
        <v>15</v>
      </c>
      <c r="C8" s="52">
        <f>'Strategy comparison'!C6-'DB comparison'!C2</f>
        <v>0</v>
      </c>
      <c r="D8" s="61"/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38">
        <f t="shared" ref="Q8:Q13" si="3">IF(IF(Q$7&gt;N8,(N8-M8)*O8,(Q$7-M8)*O8)&gt;0,IF(Q$7&gt;N8,(N8-M8)*O8,(Q$7-M8)*O8),0)</f>
        <v>1240</v>
      </c>
    </row>
    <row r="9" spans="2:17" ht="16" thickBot="1" x14ac:dyDescent="0.25">
      <c r="B9" s="27" t="s">
        <v>16</v>
      </c>
      <c r="C9" s="52">
        <f>'Strategy comparison'!C7</f>
        <v>0</v>
      </c>
      <c r="D9" s="62" t="s">
        <v>72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1">
        <f t="shared" si="3"/>
        <v>4559.88</v>
      </c>
    </row>
    <row r="10" spans="2:17" ht="16" thickBot="1" x14ac:dyDescent="0.25">
      <c r="B10" s="27" t="s">
        <v>96</v>
      </c>
      <c r="C10" s="52">
        <f>'Strategy comparison'!C9</f>
        <v>0</v>
      </c>
      <c r="D10" s="63">
        <v>5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1">
        <f t="shared" si="3"/>
        <v>12165.78</v>
      </c>
    </row>
    <row r="11" spans="2:17" x14ac:dyDescent="0.2">
      <c r="B11" s="27" t="s">
        <v>98</v>
      </c>
      <c r="C11" s="52">
        <f>'Strategy comparison'!C10</f>
        <v>0</v>
      </c>
      <c r="D11" s="2" t="s">
        <v>32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1">
        <f t="shared" si="1"/>
        <v>46115.759999999995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1">
        <f t="shared" si="3"/>
        <v>23057.759999999998</v>
      </c>
    </row>
    <row r="12" spans="2:17" x14ac:dyDescent="0.2">
      <c r="B12" s="27" t="s">
        <v>97</v>
      </c>
      <c r="C12" s="52">
        <f>'Strategy comparison'!C11</f>
        <v>0</v>
      </c>
      <c r="D12" s="3" t="s">
        <v>34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1">
        <f t="shared" si="1"/>
        <v>0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1">
        <f t="shared" si="3"/>
        <v>17423.68</v>
      </c>
    </row>
    <row r="13" spans="2:17" ht="16" thickBot="1" x14ac:dyDescent="0.25">
      <c r="B13" s="27" t="s">
        <v>100</v>
      </c>
      <c r="C13" s="49">
        <f>SUM(C7:C10)+C12</f>
        <v>400000</v>
      </c>
      <c r="D13" s="5">
        <f>C23/D10</f>
        <v>-710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1">
        <f t="shared" si="1"/>
        <v>0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1">
        <f t="shared" si="3"/>
        <v>51563.399999999994</v>
      </c>
    </row>
    <row r="14" spans="2:17" ht="16" thickBot="1" x14ac:dyDescent="0.25">
      <c r="B14" s="27" t="s">
        <v>20</v>
      </c>
      <c r="C14" s="49">
        <f>'Strategy comparison'!C8</f>
        <v>0</v>
      </c>
      <c r="D14" s="3" t="s">
        <v>35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4">
        <f>IF(K7&gt;=G14,(K7-G14)*I14,0)</f>
        <v>0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4">
        <f>IF(Q7&gt;=M14,(Q7-M14)*O14,0)</f>
        <v>0</v>
      </c>
    </row>
    <row r="15" spans="2:17" ht="16" thickBot="1" x14ac:dyDescent="0.25">
      <c r="B15" s="27" t="s">
        <v>101</v>
      </c>
      <c r="C15" s="49">
        <f>C14+C11</f>
        <v>0</v>
      </c>
      <c r="D15" s="147">
        <v>0</v>
      </c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8"/>
    </row>
    <row r="16" spans="2:17" ht="16" thickBot="1" x14ac:dyDescent="0.25">
      <c r="B16" s="27" t="s">
        <v>18</v>
      </c>
      <c r="C16" s="49">
        <f>C13+C15</f>
        <v>400000</v>
      </c>
      <c r="D16" s="68" t="s">
        <v>36</v>
      </c>
      <c r="G16" s="103"/>
      <c r="H16" s="97"/>
      <c r="I16" s="422" t="s">
        <v>26</v>
      </c>
      <c r="J16" s="423"/>
      <c r="K16" s="104" t="s">
        <v>38</v>
      </c>
      <c r="L16" s="96"/>
      <c r="M16" s="97"/>
      <c r="N16" s="97"/>
      <c r="O16" s="422" t="s">
        <v>26</v>
      </c>
      <c r="P16" s="423"/>
      <c r="Q16" s="104" t="s">
        <v>38</v>
      </c>
    </row>
    <row r="17" spans="2:17" ht="16" thickBot="1" x14ac:dyDescent="0.25">
      <c r="B17" s="28" t="s">
        <v>21</v>
      </c>
      <c r="C17" s="49">
        <f>IF(C6="Single",O17,IF(C6="Married-Joint",I17,"Filing Status?"))</f>
        <v>81195.419999999984</v>
      </c>
      <c r="D17" s="129">
        <f>D13*(1-D15)</f>
        <v>-710</v>
      </c>
      <c r="G17" s="105"/>
      <c r="H17" s="100"/>
      <c r="I17" s="106">
        <f>SUM(J8:J14)</f>
        <v>81195.419999999984</v>
      </c>
      <c r="J17" s="106">
        <f>SUM(K8:K14)</f>
        <v>82047.419999999984</v>
      </c>
      <c r="K17" s="107">
        <f>I17-J17</f>
        <v>-852</v>
      </c>
      <c r="L17" s="101"/>
      <c r="M17" s="100"/>
      <c r="N17" s="100"/>
      <c r="O17" s="106">
        <f>SUM(P8:P14)</f>
        <v>108768</v>
      </c>
      <c r="P17" s="106">
        <f>SUM(Q8:Q14)</f>
        <v>110010.5</v>
      </c>
      <c r="Q17" s="107">
        <f>O17-P17</f>
        <v>-1242.5</v>
      </c>
    </row>
    <row r="18" spans="2:17" ht="16" thickBot="1" x14ac:dyDescent="0.25">
      <c r="B18" s="28" t="s">
        <v>23</v>
      </c>
      <c r="C18" s="49">
        <f>IF(C6="Single",O28,IF(C6="Married-Joint",I28,"Filing Status?"))</f>
        <v>0</v>
      </c>
      <c r="D18" s="68" t="s">
        <v>7</v>
      </c>
      <c r="G18" s="6"/>
    </row>
    <row r="19" spans="2:17" ht="16" thickBot="1" x14ac:dyDescent="0.25">
      <c r="B19" s="28" t="s">
        <v>22</v>
      </c>
      <c r="C19" s="52">
        <f>IF(C6="Single",O42,IF(C6="Married-Joint",I42,"Filing Status?"))</f>
        <v>12000</v>
      </c>
      <c r="D19" s="90">
        <f>'Strategy comparison'!C12</f>
        <v>0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27" t="s">
        <v>24</v>
      </c>
      <c r="C20" s="50">
        <f>SUM(C17:C19)+J46</f>
        <v>100930.31999999998</v>
      </c>
      <c r="D20" s="3" t="s">
        <v>40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27" t="s">
        <v>25</v>
      </c>
      <c r="C21" s="152">
        <f>C20/SUM(C13:C14)</f>
        <v>0.25232579999999993</v>
      </c>
      <c r="D21" s="5">
        <f>SUM(D17,D19)</f>
        <v>-710</v>
      </c>
      <c r="G21" s="419" t="s">
        <v>17</v>
      </c>
      <c r="H21" s="420"/>
      <c r="I21" s="421"/>
      <c r="J21" s="188" t="s">
        <v>108</v>
      </c>
      <c r="K21" s="189" t="s">
        <v>109</v>
      </c>
      <c r="L21" s="97"/>
      <c r="M21" s="419" t="s">
        <v>19</v>
      </c>
      <c r="N21" s="420"/>
      <c r="O21" s="421"/>
      <c r="P21" s="188" t="s">
        <v>108</v>
      </c>
      <c r="Q21" s="189" t="s">
        <v>109</v>
      </c>
    </row>
    <row r="22" spans="2:17" ht="16" thickBot="1" x14ac:dyDescent="0.25">
      <c r="B22" s="26"/>
      <c r="C22" s="55"/>
      <c r="G22" s="118"/>
      <c r="H22" s="119"/>
      <c r="I22" s="120"/>
      <c r="J22" s="144">
        <f>C45</f>
        <v>0</v>
      </c>
      <c r="K22" s="144">
        <f>J22-IF((C23)&gt;J7, (C23)-J7,0)</f>
        <v>0</v>
      </c>
      <c r="L22" s="97"/>
      <c r="M22" s="116"/>
      <c r="N22" s="117"/>
      <c r="O22" s="82"/>
      <c r="P22" s="144">
        <f>C45</f>
        <v>0</v>
      </c>
      <c r="Q22" s="144">
        <f>P22-IF((C23)&gt;P7, (C23)-P7,0)</f>
        <v>0</v>
      </c>
    </row>
    <row r="23" spans="2:17" ht="16" thickBot="1" x14ac:dyDescent="0.25">
      <c r="B23" s="26" t="s">
        <v>37</v>
      </c>
      <c r="C23" s="51">
        <f>IF('DB comparison'!J5="",MIN((J7+J22)*D7,J7-IF(C6="Married-Joint",H11,N11)),'DB comparison'!J5)</f>
        <v>-3550</v>
      </c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81">
        <f t="shared" si="4"/>
        <v>0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81">
        <f t="shared" si="5"/>
        <v>0</v>
      </c>
    </row>
    <row r="24" spans="2:17" ht="16" thickBot="1" x14ac:dyDescent="0.25">
      <c r="B24" s="26" t="s">
        <v>39</v>
      </c>
      <c r="C24" s="51">
        <f>C16-C23</f>
        <v>403550</v>
      </c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81">
        <f t="shared" si="4"/>
        <v>0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81">
        <f t="shared" si="5"/>
        <v>0</v>
      </c>
    </row>
    <row r="25" spans="2:17" ht="16" thickBot="1" x14ac:dyDescent="0.25">
      <c r="B25" s="27" t="s">
        <v>41</v>
      </c>
      <c r="C25" s="52">
        <f>IF(C6="Single",P17,IF(C6="Married-Joint",J17,"Filing Status?"))</f>
        <v>82047.419999999984</v>
      </c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81">
        <f t="shared" si="4"/>
        <v>0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81">
        <f t="shared" si="5"/>
        <v>0</v>
      </c>
    </row>
    <row r="26" spans="2:17" ht="16" thickBot="1" x14ac:dyDescent="0.25">
      <c r="B26" s="27" t="s">
        <v>42</v>
      </c>
      <c r="C26" s="56">
        <f>IF(C6="Single",O42,IF(C6="Married-Joint",I42,"Filing Status?"))</f>
        <v>12000</v>
      </c>
      <c r="G26" s="96"/>
      <c r="H26" s="97"/>
      <c r="I26" s="97"/>
      <c r="J26" s="97"/>
      <c r="K26" s="102"/>
      <c r="L26" s="97"/>
      <c r="M26" s="97"/>
      <c r="N26" s="97"/>
      <c r="O26" s="97"/>
      <c r="P26" s="97"/>
      <c r="Q26" s="108"/>
    </row>
    <row r="27" spans="2:17" ht="16" thickBot="1" x14ac:dyDescent="0.25">
      <c r="B27" s="27" t="s">
        <v>158</v>
      </c>
      <c r="C27" s="56">
        <f>IF(C6="Single",P28,IF(C6="Married-Joint",J28,"Filing Status?"))</f>
        <v>0</v>
      </c>
      <c r="G27" s="96"/>
      <c r="H27" s="97"/>
      <c r="I27" s="422" t="s">
        <v>26</v>
      </c>
      <c r="J27" s="423"/>
      <c r="K27" s="109" t="s">
        <v>38</v>
      </c>
      <c r="L27" s="97"/>
      <c r="M27" s="97"/>
      <c r="N27" s="97"/>
      <c r="O27" s="422" t="s">
        <v>26</v>
      </c>
      <c r="P27" s="423"/>
      <c r="Q27" s="109" t="s">
        <v>38</v>
      </c>
    </row>
    <row r="28" spans="2:17" ht="16" thickBot="1" x14ac:dyDescent="0.25">
      <c r="B28" s="27" t="s">
        <v>43</v>
      </c>
      <c r="C28" s="50">
        <f>SUM(C25:C27)+J46</f>
        <v>101782.31999999998</v>
      </c>
      <c r="D28" s="6"/>
      <c r="G28" s="101"/>
      <c r="H28" s="100"/>
      <c r="I28" s="110">
        <f>SUM(J23:J25)</f>
        <v>0</v>
      </c>
      <c r="J28" s="111">
        <f>SUM(K23:K25)</f>
        <v>0</v>
      </c>
      <c r="K28" s="112">
        <f>I28-J28</f>
        <v>0</v>
      </c>
      <c r="L28" s="101"/>
      <c r="M28" s="100"/>
      <c r="N28" s="100"/>
      <c r="O28" s="110">
        <f>SUM(P23:P25)</f>
        <v>0</v>
      </c>
      <c r="P28" s="111">
        <f>SUM(Q23:Q25)</f>
        <v>0</v>
      </c>
      <c r="Q28" s="111">
        <f>O28-P28</f>
        <v>0</v>
      </c>
    </row>
    <row r="29" spans="2:17" ht="16" thickBot="1" x14ac:dyDescent="0.25">
      <c r="B29" s="47" t="s">
        <v>45</v>
      </c>
      <c r="C29" s="64">
        <f>D21</f>
        <v>-710</v>
      </c>
    </row>
    <row r="30" spans="2:17" x14ac:dyDescent="0.2">
      <c r="B30" s="26" t="s">
        <v>25</v>
      </c>
      <c r="C30" s="53">
        <f>(C28+C29)/SUM(C13:C14)</f>
        <v>0.25268079999999993</v>
      </c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 s="27" t="s">
        <v>44</v>
      </c>
      <c r="C31" s="52">
        <f>C20-C28</f>
        <v>-852</v>
      </c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 s="24" t="s">
        <v>86</v>
      </c>
      <c r="C32" s="54">
        <f>C31-C29</f>
        <v>-142</v>
      </c>
      <c r="F32" s="145"/>
      <c r="G32" s="419" t="s">
        <v>17</v>
      </c>
      <c r="H32" s="420"/>
      <c r="I32" s="421"/>
      <c r="J32" s="7" t="s">
        <v>18</v>
      </c>
      <c r="K32" s="7" t="s">
        <v>113</v>
      </c>
      <c r="L32" s="97"/>
      <c r="M32" s="419" t="s">
        <v>19</v>
      </c>
      <c r="N32" s="420"/>
      <c r="O32" s="421"/>
      <c r="P32" s="7" t="s">
        <v>18</v>
      </c>
      <c r="Q32" s="7" t="s">
        <v>113</v>
      </c>
    </row>
    <row r="33" spans="2:17" ht="16" thickBot="1" x14ac:dyDescent="0.25">
      <c r="B33"/>
      <c r="F33" s="145"/>
      <c r="G33" s="9"/>
      <c r="J33" s="144">
        <f>C16</f>
        <v>400000</v>
      </c>
      <c r="K33" s="144">
        <f ca="1">J33-E47</f>
        <v>367205.99664458842</v>
      </c>
      <c r="L33" s="97"/>
      <c r="M33" s="9"/>
      <c r="P33" s="20">
        <f>J33</f>
        <v>400000</v>
      </c>
      <c r="Q33" s="20">
        <f ca="1">P33-E47</f>
        <v>367205.99664458842</v>
      </c>
    </row>
    <row r="34" spans="2:17" x14ac:dyDescent="0.2"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38">
        <f ca="1">IF(IF(K$33&gt;H34,(H34-G34)*I34,(K$33-G34)*I34)&gt;0,IF(K$33&gt;H34,(H34-G34)*I34,(K$33-G34)*I34),0)</f>
        <v>11016.179899337652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38">
        <f ca="1">IF(IF(Q$33&gt;N34,(N34-M34)*O34,(Q$33-M34)*O34)&gt;0,IF(Q$33&gt;N34,(N34-M34)*O34,(Q$33-M34)*O34),0)</f>
        <v>11016.179899337652</v>
      </c>
    </row>
    <row r="35" spans="2:17" ht="16" thickBot="1" x14ac:dyDescent="0.25"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 ca="1"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1">
        <f ca="1">IF(IF(Q$33&gt;N35,(N35-M35)*O35,(Q$33-M35)*O35)&gt;0,IF(Q$33&gt;N35,(N35-M35)*O35,(Q$33-M35)*O35),0)</f>
        <v>0</v>
      </c>
    </row>
    <row r="36" spans="2:17" ht="16" thickBot="1" x14ac:dyDescent="0.25">
      <c r="B36" s="406" t="s">
        <v>81</v>
      </c>
      <c r="C36" s="408"/>
      <c r="D36" s="407" t="s">
        <v>79</v>
      </c>
      <c r="E36" s="408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 ca="1"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1">
        <f ca="1">IF(IF(Q$33&gt;N36,(N36-M36)*O36,(Q$33-M36)*O36)&gt;0,IF(Q$33&gt;N36,(N36-M36)*O36,(Q$33-M36)*O36),0)</f>
        <v>0</v>
      </c>
    </row>
    <row r="37" spans="2:17" ht="16" thickBot="1" x14ac:dyDescent="0.25">
      <c r="B37" s="83" t="s">
        <v>13</v>
      </c>
      <c r="C37" s="134" t="str">
        <f>'Strategy comparison'!C4</f>
        <v>Married-Joint</v>
      </c>
      <c r="D37" s="182" t="s">
        <v>91</v>
      </c>
      <c r="E37" s="183">
        <f>IF(C37="Married-Joint",J17+J28+J46,IF(C37="Single",P17+P28+J46,"Filing Status?"))</f>
        <v>89782.319999999978</v>
      </c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 ca="1"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1">
        <f ca="1">IF(IF(Q$33&gt;N37,(N37-M37)*O37,(Q$33-M37)*O37)&gt;0,IF(Q$33&gt;N37,(N37-M37)*O37,(Q$33-M37)*O37),0)</f>
        <v>0</v>
      </c>
    </row>
    <row r="38" spans="2:17" x14ac:dyDescent="0.2">
      <c r="B38" s="9" t="s">
        <v>14</v>
      </c>
      <c r="C38" s="135">
        <f>'Strategy comparison'!C5</f>
        <v>400000</v>
      </c>
      <c r="D38" s="132" t="s">
        <v>67</v>
      </c>
      <c r="E38" s="138">
        <f ca="1">C49</f>
        <v>73739.371831676137</v>
      </c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 ca="1"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1">
        <f ca="1">IF(IF(Q$33&gt;N38,(N38-M38)*O38,(Q$33-M38)*O38)&gt;0,IF(Q$33&gt;N38,(N38-M38)*O38,(Q$33-M38)*O38),0)</f>
        <v>0</v>
      </c>
    </row>
    <row r="39" spans="2:17" ht="16" thickBot="1" x14ac:dyDescent="0.25">
      <c r="B39" s="9" t="s">
        <v>15</v>
      </c>
      <c r="C39" s="135">
        <f>'Strategy comparison'!C6-'DB comparison'!C2</f>
        <v>0</v>
      </c>
      <c r="D39" s="133" t="s">
        <v>68</v>
      </c>
      <c r="E39" s="139">
        <f ca="1">E40-E38</f>
        <v>131067.27705631315</v>
      </c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14">
        <f ca="1">IF(K33&gt;=G39,(K33-G39)*I39,0)</f>
        <v>0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14">
        <f ca="1">IF(Q33&gt;=M39,(Q33-M39)*O39,0)</f>
        <v>0</v>
      </c>
    </row>
    <row r="40" spans="2:17" ht="16" thickBot="1" x14ac:dyDescent="0.25">
      <c r="B40" s="9" t="s">
        <v>16</v>
      </c>
      <c r="C40" s="135">
        <f>'Strategy comparison'!C7</f>
        <v>0</v>
      </c>
      <c r="D40" s="133" t="s">
        <v>69</v>
      </c>
      <c r="E40" s="139">
        <f ca="1">C49/C47</f>
        <v>204831.58842132261</v>
      </c>
      <c r="F40" s="141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8"/>
    </row>
    <row r="41" spans="2:17" ht="16" thickBot="1" x14ac:dyDescent="0.25">
      <c r="B41" s="9" t="s">
        <v>96</v>
      </c>
      <c r="C41" s="135">
        <f>C10</f>
        <v>0</v>
      </c>
      <c r="D41" s="133" t="s">
        <v>70</v>
      </c>
      <c r="E41" s="139">
        <f ca="1">E40*C48</f>
        <v>81932.635368529052</v>
      </c>
      <c r="F41" s="141"/>
      <c r="G41" s="96"/>
      <c r="H41" s="97"/>
      <c r="I41" s="422" t="s">
        <v>26</v>
      </c>
      <c r="J41" s="423"/>
      <c r="K41" s="104" t="s">
        <v>38</v>
      </c>
      <c r="L41" s="96"/>
      <c r="M41" s="97"/>
      <c r="N41" s="97"/>
      <c r="O41" s="422" t="s">
        <v>26</v>
      </c>
      <c r="P41" s="423"/>
      <c r="Q41" s="104" t="s">
        <v>38</v>
      </c>
    </row>
    <row r="42" spans="2:17" ht="16" thickBot="1" x14ac:dyDescent="0.25">
      <c r="B42" s="9" t="s">
        <v>98</v>
      </c>
      <c r="C42" s="135">
        <f>C11</f>
        <v>0</v>
      </c>
      <c r="D42" s="9" t="s">
        <v>76</v>
      </c>
      <c r="E42" s="135">
        <f ca="1">E48</f>
        <v>7870.5608052987664</v>
      </c>
      <c r="G42" s="101"/>
      <c r="H42" s="100"/>
      <c r="I42" s="106">
        <f>SUM(J34:J39)</f>
        <v>12000</v>
      </c>
      <c r="J42" s="106">
        <f ca="1">SUM(K34:K39)</f>
        <v>11016.179899337652</v>
      </c>
      <c r="K42" s="107">
        <f ca="1">I42-J42</f>
        <v>983.82010066234761</v>
      </c>
      <c r="L42" s="101"/>
      <c r="M42" s="100"/>
      <c r="N42" s="100"/>
      <c r="O42" s="106">
        <f>SUM(P34:P39)</f>
        <v>12000</v>
      </c>
      <c r="P42" s="106">
        <f ca="1">SUM(Q34:Q39)</f>
        <v>11016.179899337652</v>
      </c>
      <c r="Q42" s="107">
        <f ca="1">O42-P42</f>
        <v>983.82010066234761</v>
      </c>
    </row>
    <row r="43" spans="2:17" x14ac:dyDescent="0.2">
      <c r="B43" s="9" t="s">
        <v>97</v>
      </c>
      <c r="C43" s="135">
        <f>C12</f>
        <v>0</v>
      </c>
      <c r="D43" s="77" t="s">
        <v>85</v>
      </c>
      <c r="E43" s="184">
        <f ca="1">SUM(E41:E42)</f>
        <v>89803.196173827819</v>
      </c>
    </row>
    <row r="44" spans="2:17" ht="16" thickBot="1" x14ac:dyDescent="0.25">
      <c r="B44" s="9" t="s">
        <v>100</v>
      </c>
      <c r="C44" s="135">
        <f>C13</f>
        <v>400000</v>
      </c>
      <c r="D44" s="150" t="s">
        <v>87</v>
      </c>
      <c r="E44" s="151">
        <f ca="1">E43-C49+K42</f>
        <v>17047.644442814031</v>
      </c>
    </row>
    <row r="45" spans="2:17" x14ac:dyDescent="0.2">
      <c r="B45" s="9" t="s">
        <v>20</v>
      </c>
      <c r="C45" s="135">
        <f>'Strategy comparison'!C8+C42</f>
        <v>0</v>
      </c>
      <c r="D45" s="9" t="s">
        <v>71</v>
      </c>
      <c r="E45" s="135">
        <f ca="1">E40-(E41/2)</f>
        <v>163865.27073705808</v>
      </c>
      <c r="I45" s="181" t="s">
        <v>90</v>
      </c>
      <c r="J45" s="175">
        <f>'Tax Tables'!$C$34</f>
        <v>3.7999999999999999E-2</v>
      </c>
    </row>
    <row r="46" spans="2:17" ht="16" thickBot="1" x14ac:dyDescent="0.25">
      <c r="B46" s="9" t="s">
        <v>33</v>
      </c>
      <c r="C46" s="135">
        <f>SUM(C44:C45)</f>
        <v>400000</v>
      </c>
      <c r="D46" s="9" t="s">
        <v>68</v>
      </c>
      <c r="E46" s="135">
        <f ca="1">E39</f>
        <v>131067.27705631315</v>
      </c>
      <c r="I46" s="174">
        <f>SUM(C9:C12)+C14</f>
        <v>0</v>
      </c>
      <c r="J46" s="137">
        <f>IF(C16-C23-IF(C6="Married-Joint",250000,200000)&gt;I46,(C16-C23-IF(D6="Married-Joint",250000,200000))*J45, I46*J45)</f>
        <v>7734.9</v>
      </c>
    </row>
    <row r="47" spans="2:17" x14ac:dyDescent="0.2">
      <c r="B47" s="9" t="s">
        <v>73</v>
      </c>
      <c r="C47" s="136">
        <v>0.36</v>
      </c>
      <c r="D47" s="9" t="s">
        <v>75</v>
      </c>
      <c r="E47" s="135">
        <f ca="1">E45-E46</f>
        <v>32797.993680744927</v>
      </c>
    </row>
    <row r="48" spans="2:17" ht="16" thickBot="1" x14ac:dyDescent="0.25">
      <c r="B48" s="9" t="s">
        <v>74</v>
      </c>
      <c r="C48" s="136">
        <v>0.4</v>
      </c>
      <c r="D48" s="15" t="s">
        <v>76</v>
      </c>
      <c r="E48" s="140">
        <f ca="1">IF($C$37="Married-Joint",
    J17-((MAX(0,MIN(K7-E47,H8)-G8)*I8)
        +(MAX(0,MIN(K7-E47,H9)-G9)*I9)
        +(MAX(0,MIN(K7-E47,H10)-G10)*I10)
        +(MAX(0,MIN(K7-E47,H11)-G11)*I11)
        +(MAX(0,MIN(K7-E47,H12)-G12)*I12)
        +(MAX(0,MIN(K7-E47,H13)-G13)*I13)
        +(MAX(0,MIN(K7-E47,H14)-G14)*I14)),
    P17-((MAX(0,MIN(Q7-E47,N8)-M8)*O8)
        +(MAX(0,MIN(Q7-E47,N9)-M9)*O9)
        +(MAX(0,MIN(Q7-E47,N10)-M10)*O10)
        +(MAX(0,MIN(Q7-E47,N11)-M11)*O11)
        +(MAX(0,MIN(Q7-E47,N12)-M12)*O12)
        +(MAX(0,MIN(Q7-E47,N13)-M13)*O13)
        +(MAX(0,MIN(Q7-E47,N14)-M14)*O14))
)</f>
        <v>7871.5184833787644</v>
      </c>
    </row>
    <row r="49" spans="2:5" ht="16" thickBot="1" x14ac:dyDescent="0.25">
      <c r="B49" s="227" t="s">
        <v>77</v>
      </c>
      <c r="C49" s="228">
        <f ca="1">IF('DB comparison'!J7="",IF(E43&gt;E37,IF(ABS(E37-E43)&gt;10000,C49-(0.01*E37),C49-(0.0001*E37)),IF(ABS(E37-E43)&gt;10000,C49+(0.01*E37),C49+(0.0001*E37))),'DB comparison'!J7)</f>
        <v>73730.393599676143</v>
      </c>
    </row>
    <row r="50" spans="2:5" x14ac:dyDescent="0.2">
      <c r="B50"/>
      <c r="C50" s="153"/>
    </row>
    <row r="51" spans="2:5" ht="16" thickBot="1" x14ac:dyDescent="0.25">
      <c r="B51" s="146"/>
    </row>
    <row r="52" spans="2:5" ht="16" thickBot="1" x14ac:dyDescent="0.25">
      <c r="B52" s="450" t="s">
        <v>92</v>
      </c>
      <c r="C52" s="451"/>
    </row>
    <row r="53" spans="2:5" x14ac:dyDescent="0.2">
      <c r="B53" s="83" t="s">
        <v>86</v>
      </c>
      <c r="C53" s="186">
        <f>C32</f>
        <v>-142</v>
      </c>
      <c r="E53" s="6"/>
    </row>
    <row r="54" spans="2:5" x14ac:dyDescent="0.2">
      <c r="B54" s="9" t="s">
        <v>88</v>
      </c>
      <c r="C54" s="135">
        <f ca="1">E44</f>
        <v>17047.644442814031</v>
      </c>
    </row>
    <row r="55" spans="2:5" x14ac:dyDescent="0.2">
      <c r="B55" s="77" t="s">
        <v>89</v>
      </c>
      <c r="C55" s="184">
        <f ca="1">SUM(C53:C54)</f>
        <v>16905.644442814031</v>
      </c>
    </row>
    <row r="56" spans="2:5" ht="16" thickBot="1" x14ac:dyDescent="0.25">
      <c r="B56" s="24" t="s">
        <v>25</v>
      </c>
      <c r="C56" s="185">
        <f ca="1">(C29+C49+J42)/C16</f>
        <v>0.2100914337475345</v>
      </c>
    </row>
    <row r="57" spans="2:5" ht="16" thickBot="1" x14ac:dyDescent="0.25">
      <c r="B57"/>
    </row>
    <row r="58" spans="2:5" ht="16" thickBot="1" x14ac:dyDescent="0.25">
      <c r="B58" s="182" t="s">
        <v>156</v>
      </c>
      <c r="C58" s="287">
        <f ca="1">IF(ABS(('Solar &amp; Charitable &amp; DB'!C25+'Solar &amp; Charitable &amp; DB'!C27+'Solar &amp; Charitable &amp; DB'!J46)-MAX(MIN('Solar &amp; Charitable &amp; DB'!E43,('Solar &amp; Charitable &amp; DB'!C25+'Solar &amp; Charitable &amp; DB'!C27+'Solar &amp; Charitable &amp; DB'!J46)),0))&gt;1000,('Solar &amp; Charitable &amp; DB'!C25+'Solar &amp; Charitable &amp; DB'!C27+'Solar &amp; Charitable &amp; DB'!J46)-MAX(MIN('Solar &amp; Charitable &amp; DB'!E43,('Solar &amp; Charitable &amp; DB'!C25+'Solar &amp; Charitable &amp; DB'!C27+'Solar &amp; Charitable &amp; DB'!J46)),0),0)</f>
        <v>0</v>
      </c>
    </row>
    <row r="59" spans="2:5" x14ac:dyDescent="0.2">
      <c r="B59"/>
    </row>
    <row r="60" spans="2:5" x14ac:dyDescent="0.2">
      <c r="B60"/>
    </row>
    <row r="61" spans="2:5" x14ac:dyDescent="0.2">
      <c r="B61"/>
    </row>
    <row r="62" spans="2:5" x14ac:dyDescent="0.2">
      <c r="B62"/>
    </row>
    <row r="63" spans="2:5" x14ac:dyDescent="0.2">
      <c r="B63"/>
    </row>
    <row r="64" spans="2:5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</sheetData>
  <scenarios current="0" sqref="H29">
    <scenario name="test1" locked="1" count="1" user="Microsoft Office User" comment="Created by Microsoft Office User on 8/21/2025_x000a_Modified by Microsoft Office User on 8/23/2025">
      <inputCells r="D7" val="0.5" numFmtId="9"/>
    </scenario>
  </scenarios>
  <mergeCells count="19">
    <mergeCell ref="G30:Q30"/>
    <mergeCell ref="B4:D4"/>
    <mergeCell ref="G4:Q4"/>
    <mergeCell ref="G6:I6"/>
    <mergeCell ref="M6:O6"/>
    <mergeCell ref="I16:J16"/>
    <mergeCell ref="O16:P16"/>
    <mergeCell ref="G19:Q19"/>
    <mergeCell ref="G21:I21"/>
    <mergeCell ref="M21:O21"/>
    <mergeCell ref="I27:J27"/>
    <mergeCell ref="O27:P27"/>
    <mergeCell ref="B52:C52"/>
    <mergeCell ref="G32:I32"/>
    <mergeCell ref="M32:O32"/>
    <mergeCell ref="B36:C36"/>
    <mergeCell ref="D36:E36"/>
    <mergeCell ref="I41:J41"/>
    <mergeCell ref="O41:P41"/>
  </mergeCells>
  <pageMargins left="0.7" right="0.7" top="0.75" bottom="0.75" header="0.3" footer="0.3"/>
  <pageSetup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A5D5-34B5-1248-B8D6-3334443AE090}">
  <dimension ref="B3:Q77"/>
  <sheetViews>
    <sheetView topLeftCell="A15" workbookViewId="0">
      <selection activeCell="G53" sqref="G53"/>
    </sheetView>
  </sheetViews>
  <sheetFormatPr baseColWidth="10" defaultColWidth="8.83203125" defaultRowHeight="15" x14ac:dyDescent="0.2"/>
  <cols>
    <col min="1" max="1" width="6.1640625" customWidth="1"/>
    <col min="2" max="2" width="28.5" style="130" customWidth="1"/>
    <col min="3" max="3" width="16.83203125" customWidth="1"/>
    <col min="4" max="4" width="22.1640625" customWidth="1"/>
    <col min="5" max="5" width="17.5" customWidth="1"/>
    <col min="6" max="6" width="7.1640625" customWidth="1"/>
    <col min="7" max="7" width="14" customWidth="1"/>
    <col min="8" max="8" width="19" customWidth="1"/>
    <col min="9" max="9" width="13.5" customWidth="1"/>
    <col min="10" max="11" width="14" customWidth="1"/>
    <col min="12" max="12" width="2.5" customWidth="1"/>
    <col min="13" max="13" width="14" customWidth="1"/>
    <col min="14" max="14" width="21.33203125" customWidth="1"/>
    <col min="15" max="15" width="13.1640625" customWidth="1"/>
    <col min="16" max="17" width="14" customWidth="1"/>
    <col min="22" max="22" width="13" bestFit="1" customWidth="1"/>
    <col min="23" max="23" width="9.83203125" customWidth="1"/>
    <col min="24" max="24" width="12.5" customWidth="1"/>
  </cols>
  <sheetData>
    <row r="3" spans="2:17" ht="16" thickBot="1" x14ac:dyDescent="0.25"/>
    <row r="4" spans="2:17" ht="16" thickBot="1" x14ac:dyDescent="0.25">
      <c r="B4" s="447" t="s">
        <v>1</v>
      </c>
      <c r="C4" s="448"/>
      <c r="D4" s="449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74"/>
      <c r="C5" s="75"/>
      <c r="D5" s="57" t="s">
        <v>29</v>
      </c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27" t="s">
        <v>13</v>
      </c>
      <c r="C6" s="148" t="str">
        <f>'Strategy comparison'!C4</f>
        <v>Married-Joint</v>
      </c>
      <c r="D6" s="58" t="s">
        <v>0</v>
      </c>
      <c r="G6" s="419" t="s">
        <v>17</v>
      </c>
      <c r="H6" s="420"/>
      <c r="I6" s="421"/>
      <c r="J6" s="7" t="s">
        <v>100</v>
      </c>
      <c r="K6" s="7" t="s">
        <v>103</v>
      </c>
      <c r="M6" s="419" t="s">
        <v>19</v>
      </c>
      <c r="N6" s="420"/>
      <c r="O6" s="421"/>
      <c r="P6" s="7" t="s">
        <v>100</v>
      </c>
      <c r="Q6" s="7" t="s">
        <v>103</v>
      </c>
    </row>
    <row r="7" spans="2:17" ht="16" thickBot="1" x14ac:dyDescent="0.25">
      <c r="B7" s="27" t="s">
        <v>14</v>
      </c>
      <c r="C7" s="89">
        <f>'Strategy comparison'!C5+'Roth comparison'!C2</f>
        <v>850000</v>
      </c>
      <c r="D7" s="42">
        <v>0.5</v>
      </c>
      <c r="G7" s="116"/>
      <c r="H7" s="117"/>
      <c r="I7" s="82"/>
      <c r="J7" s="142">
        <f>C13</f>
        <v>850000</v>
      </c>
      <c r="K7" s="69">
        <f>J7-MIN(C23,J7)</f>
        <v>425000</v>
      </c>
      <c r="L7" s="97"/>
      <c r="M7" s="116"/>
      <c r="N7" s="117"/>
      <c r="O7" s="82"/>
      <c r="P7" s="39">
        <f>J7</f>
        <v>850000</v>
      </c>
      <c r="Q7" s="95">
        <f>K7</f>
        <v>425000</v>
      </c>
    </row>
    <row r="8" spans="2:17" x14ac:dyDescent="0.2">
      <c r="B8" s="27" t="s">
        <v>15</v>
      </c>
      <c r="C8" s="52">
        <f>'Strategy comparison'!C6</f>
        <v>0</v>
      </c>
      <c r="D8" s="61"/>
      <c r="G8" s="34">
        <f>'Tax Tables'!B6</f>
        <v>0</v>
      </c>
      <c r="H8" s="44">
        <f>'Tax Tables'!C6</f>
        <v>24800</v>
      </c>
      <c r="I8" s="10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38">
        <f t="shared" ref="Q8:Q13" si="3">IF(IF(Q$7&gt;N8,(N8-M8)*O8,(Q$7-M8)*O8)&gt;0,IF(Q$7&gt;N8,(N8-M8)*O8,(Q$7-M8)*O8),0)</f>
        <v>1240</v>
      </c>
    </row>
    <row r="9" spans="2:17" ht="16" thickBot="1" x14ac:dyDescent="0.25">
      <c r="B9" s="27" t="s">
        <v>16</v>
      </c>
      <c r="C9" s="52">
        <f>'Strategy comparison'!C7</f>
        <v>0</v>
      </c>
      <c r="D9" s="62" t="s">
        <v>72</v>
      </c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1">
        <f t="shared" si="3"/>
        <v>4559.88</v>
      </c>
    </row>
    <row r="10" spans="2:17" ht="16" thickBot="1" x14ac:dyDescent="0.25">
      <c r="B10" s="27" t="s">
        <v>96</v>
      </c>
      <c r="C10" s="52">
        <f>'Strategy comparison'!C9</f>
        <v>0</v>
      </c>
      <c r="D10" s="63">
        <v>5</v>
      </c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1">
        <f t="shared" si="3"/>
        <v>12165.78</v>
      </c>
    </row>
    <row r="11" spans="2:17" x14ac:dyDescent="0.2">
      <c r="B11" s="27" t="s">
        <v>98</v>
      </c>
      <c r="C11" s="52">
        <f>'Strategy comparison'!C10</f>
        <v>0</v>
      </c>
      <c r="D11" s="2" t="s">
        <v>32</v>
      </c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46115.759999999995</v>
      </c>
      <c r="K11" s="11">
        <f t="shared" si="1"/>
        <v>46115.759999999995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1">
        <f t="shared" si="3"/>
        <v>23057.759999999998</v>
      </c>
    </row>
    <row r="12" spans="2:17" x14ac:dyDescent="0.2">
      <c r="B12" s="27" t="s">
        <v>97</v>
      </c>
      <c r="C12" s="52">
        <f>'Strategy comparison'!C11</f>
        <v>0</v>
      </c>
      <c r="D12" s="3" t="s">
        <v>34</v>
      </c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34847.68</v>
      </c>
      <c r="K12" s="11">
        <f t="shared" si="1"/>
        <v>6863.68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1">
        <f t="shared" si="3"/>
        <v>17423.68</v>
      </c>
    </row>
    <row r="13" spans="2:17" ht="16" thickBot="1" x14ac:dyDescent="0.25">
      <c r="B13" s="27" t="s">
        <v>100</v>
      </c>
      <c r="C13" s="49">
        <f>SUM(C7:C10)+C12</f>
        <v>850000</v>
      </c>
      <c r="D13" s="5">
        <f>C23/D10</f>
        <v>85000</v>
      </c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89687.15</v>
      </c>
      <c r="K13" s="11">
        <f t="shared" si="1"/>
        <v>0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134530.9</v>
      </c>
      <c r="Q13" s="11">
        <f t="shared" si="3"/>
        <v>59070.899999999994</v>
      </c>
    </row>
    <row r="14" spans="2:17" ht="16" thickBot="1" x14ac:dyDescent="0.25">
      <c r="B14" s="27" t="s">
        <v>20</v>
      </c>
      <c r="C14" s="49">
        <f>'Strategy comparison'!C8</f>
        <v>0</v>
      </c>
      <c r="D14" s="3" t="s">
        <v>35</v>
      </c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30080.63</v>
      </c>
      <c r="K14" s="14">
        <f>IF(K7&gt;=G14,(K7-G14)*I14,0)</f>
        <v>0</v>
      </c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77477.63</v>
      </c>
      <c r="Q14" s="14">
        <f>IF(Q7&gt;=M14,(Q7-M14)*O14,0)</f>
        <v>0</v>
      </c>
    </row>
    <row r="15" spans="2:17" ht="16" thickBot="1" x14ac:dyDescent="0.25">
      <c r="B15" s="27" t="s">
        <v>101</v>
      </c>
      <c r="C15" s="49">
        <f>C14+C11</f>
        <v>0</v>
      </c>
      <c r="D15" s="147">
        <v>0</v>
      </c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8"/>
    </row>
    <row r="16" spans="2:17" ht="16" thickBot="1" x14ac:dyDescent="0.25">
      <c r="B16" s="27" t="s">
        <v>18</v>
      </c>
      <c r="C16" s="49">
        <f>C13+C15</f>
        <v>850000</v>
      </c>
      <c r="D16" s="68" t="s">
        <v>36</v>
      </c>
      <c r="G16" s="103"/>
      <c r="H16" s="97"/>
      <c r="I16" s="422" t="s">
        <v>26</v>
      </c>
      <c r="J16" s="423"/>
      <c r="K16" s="104" t="s">
        <v>38</v>
      </c>
      <c r="L16" s="96"/>
      <c r="M16" s="97"/>
      <c r="N16" s="97"/>
      <c r="O16" s="422" t="s">
        <v>26</v>
      </c>
      <c r="P16" s="423"/>
      <c r="Q16" s="104" t="s">
        <v>38</v>
      </c>
    </row>
    <row r="17" spans="2:17" ht="16" thickBot="1" x14ac:dyDescent="0.25">
      <c r="B17" s="28" t="s">
        <v>21</v>
      </c>
      <c r="C17" s="49">
        <f>IF(C6="Single",O17,IF(C6="Married-Joint",I17,"Filing Status?"))</f>
        <v>236662.87999999998</v>
      </c>
      <c r="D17" s="129">
        <f>D13*(1-D15)</f>
        <v>85000</v>
      </c>
      <c r="G17" s="105"/>
      <c r="H17" s="100"/>
      <c r="I17" s="106">
        <f>SUM(J8:J14)</f>
        <v>236662.87999999998</v>
      </c>
      <c r="J17" s="106">
        <f>SUM(K8:K14)</f>
        <v>88911.099999999977</v>
      </c>
      <c r="K17" s="107">
        <f>I17-J17</f>
        <v>147751.78</v>
      </c>
      <c r="L17" s="101"/>
      <c r="M17" s="100"/>
      <c r="N17" s="100"/>
      <c r="O17" s="106">
        <f>SUM(P8:P14)</f>
        <v>270455.63</v>
      </c>
      <c r="P17" s="106">
        <f>SUM(Q8:Q14)</f>
        <v>117518</v>
      </c>
      <c r="Q17" s="107">
        <f>O17-P17</f>
        <v>152937.63</v>
      </c>
    </row>
    <row r="18" spans="2:17" ht="16" thickBot="1" x14ac:dyDescent="0.25">
      <c r="B18" s="28" t="s">
        <v>23</v>
      </c>
      <c r="C18" s="49">
        <f>IF(C6="Single",O28,IF(C6="Married-Joint",I28,"Filing Status?"))</f>
        <v>0</v>
      </c>
      <c r="D18" s="68" t="s">
        <v>7</v>
      </c>
      <c r="G18" s="6"/>
    </row>
    <row r="19" spans="2:17" ht="16" thickBot="1" x14ac:dyDescent="0.25">
      <c r="B19" s="28" t="s">
        <v>22</v>
      </c>
      <c r="C19" s="52">
        <f>IF(C6="Single",O42,IF(C6="Married-Joint",I42,"Filing Status?"))</f>
        <v>25500</v>
      </c>
      <c r="D19" s="90">
        <f>'Strategy comparison'!C12</f>
        <v>0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27" t="s">
        <v>24</v>
      </c>
      <c r="C20" s="50">
        <f>SUM(C17:C19)+J46</f>
        <v>270712.88</v>
      </c>
      <c r="D20" s="3" t="s">
        <v>40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27" t="s">
        <v>25</v>
      </c>
      <c r="C21" s="152">
        <f>C20/SUM(C13:C14)</f>
        <v>0.3184857411764706</v>
      </c>
      <c r="D21" s="5">
        <f>SUM(D17,D19)</f>
        <v>85000</v>
      </c>
      <c r="G21" s="419" t="s">
        <v>17</v>
      </c>
      <c r="H21" s="420"/>
      <c r="I21" s="421"/>
      <c r="J21" s="188" t="s">
        <v>108</v>
      </c>
      <c r="K21" s="189" t="s">
        <v>109</v>
      </c>
      <c r="L21" s="97"/>
      <c r="M21" s="419" t="s">
        <v>19</v>
      </c>
      <c r="N21" s="420"/>
      <c r="O21" s="421"/>
      <c r="P21" s="188" t="s">
        <v>108</v>
      </c>
      <c r="Q21" s="189" t="s">
        <v>109</v>
      </c>
    </row>
    <row r="22" spans="2:17" ht="16" thickBot="1" x14ac:dyDescent="0.25">
      <c r="B22" s="26"/>
      <c r="C22" s="55"/>
      <c r="G22" s="118"/>
      <c r="H22" s="119"/>
      <c r="I22" s="120"/>
      <c r="J22" s="144">
        <f>C45</f>
        <v>0</v>
      </c>
      <c r="K22" s="144">
        <f>J22-IF((C23)&gt;J7, (C23)-J7,0)</f>
        <v>0</v>
      </c>
      <c r="L22" s="97"/>
      <c r="M22" s="116"/>
      <c r="N22" s="117"/>
      <c r="O22" s="82"/>
      <c r="P22" s="144">
        <f>C45</f>
        <v>0</v>
      </c>
      <c r="Q22" s="144">
        <f>P22-IF((C23)&gt;P7, (C23)-P7,0)</f>
        <v>0</v>
      </c>
    </row>
    <row r="23" spans="2:17" ht="16" thickBot="1" x14ac:dyDescent="0.25">
      <c r="B23" s="26" t="s">
        <v>37</v>
      </c>
      <c r="C23" s="51">
        <f>IF('Roth comparison'!J5="",MIN((J7+J22)*D7,J7-IF(C6="Married-Joint",H11,N11)),'Roth comparison'!J5)</f>
        <v>425000</v>
      </c>
      <c r="G23" s="34">
        <f>'Tax Tables'!B18</f>
        <v>0</v>
      </c>
      <c r="H23" s="44">
        <f>'Tax Tables'!C18</f>
        <v>98900</v>
      </c>
      <c r="I23" s="10">
        <f>'Tax Tables'!D18</f>
        <v>0</v>
      </c>
      <c r="J23" s="81">
        <f t="shared" ref="J23:K25" si="4">IF(J$22&gt;$H23,($H23-$G23)*$I23,MAX((J$22-$G23),0)*$I23)</f>
        <v>0</v>
      </c>
      <c r="K23" s="81">
        <f t="shared" si="4"/>
        <v>0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81">
        <f t="shared" ref="P23:Q25" si="5">IF(P$22&gt;$N23,($N23-$M23)*$O23,MAX((P$22-$M23),0)*$O23)</f>
        <v>0</v>
      </c>
      <c r="Q23" s="81">
        <f t="shared" si="5"/>
        <v>0</v>
      </c>
    </row>
    <row r="24" spans="2:17" ht="16" thickBot="1" x14ac:dyDescent="0.25">
      <c r="B24" s="26" t="s">
        <v>39</v>
      </c>
      <c r="C24" s="51">
        <f>C16-C23</f>
        <v>425000</v>
      </c>
      <c r="G24" s="34">
        <f>'Tax Tables'!B19</f>
        <v>98901</v>
      </c>
      <c r="H24" s="44">
        <f>'Tax Tables'!C19</f>
        <v>613700</v>
      </c>
      <c r="I24" s="10">
        <f>'Tax Tables'!D19</f>
        <v>0.15</v>
      </c>
      <c r="J24" s="81">
        <f t="shared" si="4"/>
        <v>0</v>
      </c>
      <c r="K24" s="81">
        <f t="shared" si="4"/>
        <v>0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81">
        <f t="shared" si="5"/>
        <v>0</v>
      </c>
      <c r="Q24" s="81">
        <f t="shared" si="5"/>
        <v>0</v>
      </c>
    </row>
    <row r="25" spans="2:17" ht="16" thickBot="1" x14ac:dyDescent="0.25">
      <c r="B25" s="27" t="s">
        <v>41</v>
      </c>
      <c r="C25" s="52">
        <f>IF(C6="Single",P17,IF(C6="Married-Joint",J17,"Filing Status?"))</f>
        <v>88911.099999999977</v>
      </c>
      <c r="G25" s="35">
        <f>'Tax Tables'!B20</f>
        <v>613701</v>
      </c>
      <c r="H25" s="45">
        <f>'Tax Tables'!C20</f>
        <v>99999999999</v>
      </c>
      <c r="I25" s="13">
        <f>'Tax Tables'!D20</f>
        <v>0.2</v>
      </c>
      <c r="J25" s="81">
        <f t="shared" si="4"/>
        <v>0</v>
      </c>
      <c r="K25" s="81">
        <f t="shared" si="4"/>
        <v>0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81">
        <f t="shared" si="5"/>
        <v>0</v>
      </c>
      <c r="Q25" s="81">
        <f t="shared" si="5"/>
        <v>0</v>
      </c>
    </row>
    <row r="26" spans="2:17" ht="16" thickBot="1" x14ac:dyDescent="0.25">
      <c r="B26" s="27" t="s">
        <v>42</v>
      </c>
      <c r="C26" s="56">
        <f>IF(C6="Single",O42,IF(C6="Married-Joint",I42,"Filing Status?"))</f>
        <v>25500</v>
      </c>
      <c r="E26" s="6"/>
      <c r="G26" s="96"/>
      <c r="H26" s="97"/>
      <c r="I26" s="97"/>
      <c r="J26" s="97"/>
      <c r="K26" s="102"/>
      <c r="L26" s="97"/>
      <c r="M26" s="97"/>
      <c r="N26" s="97"/>
      <c r="O26" s="97"/>
      <c r="P26" s="97"/>
      <c r="Q26" s="108"/>
    </row>
    <row r="27" spans="2:17" ht="16" thickBot="1" x14ac:dyDescent="0.25">
      <c r="B27" s="27" t="s">
        <v>158</v>
      </c>
      <c r="C27" s="56">
        <f>IF(C6="Single",P28,IF(C6="Married-Joint",J28,"Filing Status?"))</f>
        <v>0</v>
      </c>
      <c r="G27" s="96"/>
      <c r="H27" s="97"/>
      <c r="I27" s="422" t="s">
        <v>26</v>
      </c>
      <c r="J27" s="423"/>
      <c r="K27" s="109" t="s">
        <v>38</v>
      </c>
      <c r="L27" s="97"/>
      <c r="M27" s="97"/>
      <c r="N27" s="97"/>
      <c r="O27" s="422" t="s">
        <v>26</v>
      </c>
      <c r="P27" s="423"/>
      <c r="Q27" s="109" t="s">
        <v>38</v>
      </c>
    </row>
    <row r="28" spans="2:17" ht="16" thickBot="1" x14ac:dyDescent="0.25">
      <c r="B28" s="27" t="s">
        <v>43</v>
      </c>
      <c r="C28" s="50">
        <f>SUM(C25:C27)+J46</f>
        <v>122961.09999999998</v>
      </c>
      <c r="D28" s="6"/>
      <c r="G28" s="101"/>
      <c r="H28" s="100"/>
      <c r="I28" s="110">
        <f>SUM(J23:J25)</f>
        <v>0</v>
      </c>
      <c r="J28" s="111">
        <f>SUM(K23:K25)</f>
        <v>0</v>
      </c>
      <c r="K28" s="112">
        <f>I28-J28</f>
        <v>0</v>
      </c>
      <c r="L28" s="101"/>
      <c r="M28" s="100"/>
      <c r="N28" s="100"/>
      <c r="O28" s="110">
        <f>SUM(P23:P25)</f>
        <v>0</v>
      </c>
      <c r="P28" s="111">
        <f>SUM(Q23:Q25)</f>
        <v>0</v>
      </c>
      <c r="Q28" s="111">
        <f>O28-P28</f>
        <v>0</v>
      </c>
    </row>
    <row r="29" spans="2:17" ht="16" thickBot="1" x14ac:dyDescent="0.25">
      <c r="B29" s="47" t="s">
        <v>45</v>
      </c>
      <c r="C29" s="64">
        <f>D21</f>
        <v>85000</v>
      </c>
    </row>
    <row r="30" spans="2:17" x14ac:dyDescent="0.2">
      <c r="B30" s="26" t="s">
        <v>25</v>
      </c>
      <c r="C30" s="53">
        <f>(C28+C29)/SUM(C13:C14)</f>
        <v>0.24466011764705881</v>
      </c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 s="27" t="s">
        <v>44</v>
      </c>
      <c r="C31" s="52">
        <f>C20-C28</f>
        <v>147751.78000000003</v>
      </c>
      <c r="F31" s="145"/>
      <c r="G31" s="114"/>
      <c r="H31" s="113"/>
      <c r="I31" s="113"/>
      <c r="J31" s="113"/>
      <c r="K31" s="113"/>
      <c r="L31" s="113"/>
      <c r="M31" s="113"/>
      <c r="N31" s="113"/>
      <c r="O31" s="113"/>
      <c r="P31" s="113"/>
      <c r="Q31" s="115"/>
    </row>
    <row r="32" spans="2:17" ht="16" thickBot="1" x14ac:dyDescent="0.25">
      <c r="B32" s="24" t="s">
        <v>86</v>
      </c>
      <c r="C32" s="54">
        <f>C31-C29</f>
        <v>62751.780000000028</v>
      </c>
      <c r="F32" s="145"/>
      <c r="G32" s="419" t="s">
        <v>17</v>
      </c>
      <c r="H32" s="420"/>
      <c r="I32" s="421"/>
      <c r="J32" s="7" t="s">
        <v>18</v>
      </c>
      <c r="K32" s="7" t="s">
        <v>113</v>
      </c>
      <c r="L32" s="97"/>
      <c r="M32" s="419" t="s">
        <v>19</v>
      </c>
      <c r="N32" s="420"/>
      <c r="O32" s="421"/>
      <c r="P32" s="7" t="s">
        <v>18</v>
      </c>
      <c r="Q32" s="7" t="s">
        <v>113</v>
      </c>
    </row>
    <row r="33" spans="2:17" ht="16" thickBot="1" x14ac:dyDescent="0.25">
      <c r="B33"/>
      <c r="F33" s="145"/>
      <c r="G33" s="9"/>
      <c r="J33" s="144">
        <f>C16</f>
        <v>850000</v>
      </c>
      <c r="K33" s="144">
        <f ca="1">J33-E47</f>
        <v>815083.53670874634</v>
      </c>
      <c r="L33" s="97"/>
      <c r="M33" s="9"/>
      <c r="P33" s="20">
        <f>J33</f>
        <v>850000</v>
      </c>
      <c r="Q33" s="20">
        <f ca="1">P33-E47</f>
        <v>815083.53670874634</v>
      </c>
    </row>
    <row r="34" spans="2:17" x14ac:dyDescent="0.2">
      <c r="F34" s="145"/>
      <c r="G34" s="60">
        <f>'Tax Tables'!B25</f>
        <v>0</v>
      </c>
      <c r="H34" s="143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25500</v>
      </c>
      <c r="K34" s="38">
        <f ca="1">IF(IF(K$33&gt;H34,(H34-G34)*I34,(K$33-G34)*I34)&gt;0,IF(K$33&gt;H34,(H34-G34)*I34,(K$33-G34)*I34),0)</f>
        <v>24452.506101262388</v>
      </c>
      <c r="L34" s="97"/>
      <c r="M34" s="60">
        <f>'Tax Tables'!F25</f>
        <v>0</v>
      </c>
      <c r="N34" s="143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25500</v>
      </c>
      <c r="Q34" s="38">
        <f ca="1">IF(IF(Q$33&gt;N34,(N34-M34)*O34,(Q$33-M34)*O34)&gt;0,IF(Q$33&gt;N34,(N34-M34)*O34,(Q$33-M34)*O34),0)</f>
        <v>24452.506101262388</v>
      </c>
    </row>
    <row r="35" spans="2:17" ht="16" thickBot="1" x14ac:dyDescent="0.25">
      <c r="F35" s="141"/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 ca="1"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1">
        <f ca="1">IF(IF(Q$33&gt;N35,(N35-M35)*O35,(Q$33-M35)*O35)&gt;0,IF(Q$33&gt;N35,(N35-M35)*O35,(Q$33-M35)*O35),0)</f>
        <v>0</v>
      </c>
    </row>
    <row r="36" spans="2:17" ht="16" thickBot="1" x14ac:dyDescent="0.25">
      <c r="B36" s="406" t="s">
        <v>81</v>
      </c>
      <c r="C36" s="408"/>
      <c r="D36" s="407" t="s">
        <v>79</v>
      </c>
      <c r="E36" s="408"/>
      <c r="F36" s="141"/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 ca="1"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1">
        <f ca="1">IF(IF(Q$33&gt;N36,(N36-M36)*O36,(Q$33-M36)*O36)&gt;0,IF(Q$33&gt;N36,(N36-M36)*O36,(Q$33-M36)*O36),0)</f>
        <v>0</v>
      </c>
    </row>
    <row r="37" spans="2:17" ht="16" thickBot="1" x14ac:dyDescent="0.25">
      <c r="B37" s="83" t="s">
        <v>13</v>
      </c>
      <c r="C37" s="134" t="str">
        <f>'Strategy comparison'!C4</f>
        <v>Married-Joint</v>
      </c>
      <c r="D37" s="182" t="s">
        <v>91</v>
      </c>
      <c r="E37" s="183">
        <f>IF(C37="Married-Joint",J17+J28+J46,IF(C37="Single",P17+P28+J46,"Filing Status?"))</f>
        <v>97461.099999999977</v>
      </c>
      <c r="F37" s="141"/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 ca="1"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1">
        <f ca="1">IF(IF(Q$33&gt;N37,(N37-M37)*O37,(Q$33-M37)*O37)&gt;0,IF(Q$33&gt;N37,(N37-M37)*O37,(Q$33-M37)*O37),0)</f>
        <v>0</v>
      </c>
    </row>
    <row r="38" spans="2:17" x14ac:dyDescent="0.2">
      <c r="B38" s="9" t="s">
        <v>14</v>
      </c>
      <c r="C38" s="135">
        <f>'Strategy comparison'!C5</f>
        <v>400000</v>
      </c>
      <c r="D38" s="132" t="s">
        <v>67</v>
      </c>
      <c r="E38" s="138">
        <f ca="1">C49</f>
        <v>78613.209482820661</v>
      </c>
      <c r="F38" s="141"/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 ca="1"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1">
        <f ca="1">IF(IF(Q$33&gt;N38,(N38-M38)*O38,(Q$33-M38)*O38)&gt;0,IF(Q$33&gt;N38,(N38-M38)*O38,(Q$33-M38)*O38),0)</f>
        <v>0</v>
      </c>
    </row>
    <row r="39" spans="2:17" ht="16" thickBot="1" x14ac:dyDescent="0.25">
      <c r="B39" s="9" t="s">
        <v>15</v>
      </c>
      <c r="C39" s="135">
        <f>'Strategy comparison'!C6</f>
        <v>0</v>
      </c>
      <c r="D39" s="133" t="s">
        <v>68</v>
      </c>
      <c r="E39" s="139">
        <f ca="1">E40-E38</f>
        <v>139783.88938612561</v>
      </c>
      <c r="F39" s="141"/>
      <c r="G39" s="91">
        <f>'Tax Tables'!B30</f>
        <v>0</v>
      </c>
      <c r="H39" s="92">
        <f>'Tax Tables'!C30</f>
        <v>0</v>
      </c>
      <c r="I39" s="93">
        <f>'Tax Tables'!D30</f>
        <v>0</v>
      </c>
      <c r="J39" s="35">
        <f>IF(J33&gt;=G39,(J33-G39)*I39,0)</f>
        <v>0</v>
      </c>
      <c r="K39" s="14">
        <f ca="1">IF(K33&gt;=G39,(K33-G39)*I39,0)</f>
        <v>0</v>
      </c>
      <c r="L39" s="97"/>
      <c r="M39" s="91">
        <f>'Tax Tables'!F30</f>
        <v>0</v>
      </c>
      <c r="N39" s="92">
        <f>'Tax Tables'!G30</f>
        <v>0</v>
      </c>
      <c r="O39" s="94">
        <f>'Tax Tables'!H30</f>
        <v>0</v>
      </c>
      <c r="P39" s="35">
        <f>IF(P33&gt;=M39,(P33-M39)*O39,0)</f>
        <v>0</v>
      </c>
      <c r="Q39" s="14">
        <f ca="1">IF(Q33&gt;=M39,(Q33-M39)*O39,0)</f>
        <v>0</v>
      </c>
    </row>
    <row r="40" spans="2:17" ht="16" thickBot="1" x14ac:dyDescent="0.25">
      <c r="B40" s="9" t="s">
        <v>16</v>
      </c>
      <c r="C40" s="135">
        <f>'Strategy comparison'!C7</f>
        <v>0</v>
      </c>
      <c r="D40" s="133" t="s">
        <v>69</v>
      </c>
      <c r="E40" s="139">
        <f ca="1">C49/C47</f>
        <v>218370.0263411685</v>
      </c>
      <c r="F40" s="141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8"/>
    </row>
    <row r="41" spans="2:17" ht="16" thickBot="1" x14ac:dyDescent="0.25">
      <c r="B41" s="9" t="s">
        <v>96</v>
      </c>
      <c r="C41" s="135">
        <f>C10</f>
        <v>0</v>
      </c>
      <c r="D41" s="133" t="s">
        <v>70</v>
      </c>
      <c r="E41" s="139">
        <f ca="1">E40*C48</f>
        <v>87348.010536467409</v>
      </c>
      <c r="F41" s="141"/>
      <c r="G41" s="96"/>
      <c r="H41" s="97"/>
      <c r="I41" s="422" t="s">
        <v>26</v>
      </c>
      <c r="J41" s="423"/>
      <c r="K41" s="104" t="s">
        <v>38</v>
      </c>
      <c r="L41" s="96"/>
      <c r="M41" s="97"/>
      <c r="N41" s="97"/>
      <c r="O41" s="422" t="s">
        <v>26</v>
      </c>
      <c r="P41" s="423"/>
      <c r="Q41" s="104" t="s">
        <v>38</v>
      </c>
    </row>
    <row r="42" spans="2:17" ht="16" thickBot="1" x14ac:dyDescent="0.25">
      <c r="B42" s="9" t="s">
        <v>98</v>
      </c>
      <c r="C42" s="135">
        <f>C11</f>
        <v>0</v>
      </c>
      <c r="D42" s="9" t="s">
        <v>76</v>
      </c>
      <c r="E42" s="135">
        <f ca="1">E48</f>
        <v>10095.631189900858</v>
      </c>
      <c r="G42" s="101"/>
      <c r="H42" s="100"/>
      <c r="I42" s="106">
        <f>SUM(J34:J39)</f>
        <v>25500</v>
      </c>
      <c r="J42" s="106">
        <f ca="1">SUM(K34:K39)</f>
        <v>24452.506101262388</v>
      </c>
      <c r="K42" s="107">
        <f ca="1">I42-J42</f>
        <v>1047.4938987376117</v>
      </c>
      <c r="L42" s="101"/>
      <c r="M42" s="100"/>
      <c r="N42" s="100"/>
      <c r="O42" s="106">
        <f>SUM(P34:P39)</f>
        <v>25500</v>
      </c>
      <c r="P42" s="106">
        <f ca="1">SUM(Q34:Q39)</f>
        <v>24452.506101262388</v>
      </c>
      <c r="Q42" s="107">
        <f ca="1">O42-P42</f>
        <v>1047.4938987376117</v>
      </c>
    </row>
    <row r="43" spans="2:17" x14ac:dyDescent="0.2">
      <c r="B43" s="9" t="s">
        <v>97</v>
      </c>
      <c r="C43" s="135">
        <f>C12</f>
        <v>0</v>
      </c>
      <c r="D43" s="77" t="s">
        <v>85</v>
      </c>
      <c r="E43" s="184">
        <f ca="1">SUM(E41:E42)</f>
        <v>97443.641726368267</v>
      </c>
    </row>
    <row r="44" spans="2:17" ht="16" thickBot="1" x14ac:dyDescent="0.25">
      <c r="B44" s="9" t="s">
        <v>100</v>
      </c>
      <c r="C44" s="135">
        <f>C13</f>
        <v>850000</v>
      </c>
      <c r="D44" s="150" t="s">
        <v>87</v>
      </c>
      <c r="E44" s="151">
        <f ca="1">E43-C49+K42</f>
        <v>19877.926142285218</v>
      </c>
    </row>
    <row r="45" spans="2:17" x14ac:dyDescent="0.2">
      <c r="B45" s="9" t="s">
        <v>20</v>
      </c>
      <c r="C45" s="135">
        <f>'Strategy comparison'!C8+C42</f>
        <v>0</v>
      </c>
      <c r="D45" s="9" t="s">
        <v>71</v>
      </c>
      <c r="E45" s="135">
        <f ca="1">E40-(E41/2)</f>
        <v>174696.02107293479</v>
      </c>
      <c r="I45" s="181" t="s">
        <v>90</v>
      </c>
      <c r="J45" s="175">
        <f>'Tax Tables'!$C$34</f>
        <v>3.7999999999999999E-2</v>
      </c>
    </row>
    <row r="46" spans="2:17" ht="16" thickBot="1" x14ac:dyDescent="0.25">
      <c r="B46" s="9" t="s">
        <v>33</v>
      </c>
      <c r="C46" s="135">
        <f>SUM(C44:C45)</f>
        <v>850000</v>
      </c>
      <c r="D46" s="9" t="s">
        <v>68</v>
      </c>
      <c r="E46" s="135">
        <f ca="1">E39</f>
        <v>139783.88938612561</v>
      </c>
      <c r="I46" s="174">
        <f>SUM(C9:C12)+C14</f>
        <v>0</v>
      </c>
      <c r="J46" s="140">
        <f>IF(C16-C23-IF(C6="Married-Joint",250000,200000)&gt;I46,(C16-C23-IF(D6="Married-Joint",250000,200000))*J45, I46*J45)</f>
        <v>8550</v>
      </c>
    </row>
    <row r="47" spans="2:17" x14ac:dyDescent="0.2">
      <c r="B47" s="9" t="s">
        <v>73</v>
      </c>
      <c r="C47" s="136">
        <v>0.36</v>
      </c>
      <c r="D47" s="9" t="s">
        <v>75</v>
      </c>
      <c r="E47" s="135">
        <f ca="1">E45-E46</f>
        <v>34912.131686809182</v>
      </c>
    </row>
    <row r="48" spans="2:17" ht="16" thickBot="1" x14ac:dyDescent="0.25">
      <c r="B48" s="9" t="s">
        <v>74</v>
      </c>
      <c r="C48" s="136">
        <v>0.4</v>
      </c>
      <c r="D48" s="15" t="s">
        <v>76</v>
      </c>
      <c r="E48" s="140">
        <f ca="1">IF($C$37="Married-Joint",
    J17-((MAX(0,MIN(K7-E47,H8)-G8)*I8)
        +(MAX(0,MIN(K7-E47,H9)-G9)*I9)
        +(MAX(0,MIN(K7-E47,H10)-G10)*I10)
        +(MAX(0,MIN(K7-E47,H11)-G11)*I11)
        +(MAX(0,MIN(K7-E47,H12)-G12)*I12)
        +(MAX(0,MIN(K7-E47,H13)-G13)*I13)
        +(MAX(0,MIN(K7-E47,H14)-G14)*I14)),
    P17-((MAX(0,MIN(Q7-E47,N8)-M8)*O8)
        +(MAX(0,MIN(Q7-E47,N9)-M9)*O9)
        +(MAX(0,MIN(Q7-E47,N10)-M10)*O10)
        +(MAX(0,MIN(Q7-E47,N11)-M11)*O11)
        +(MAX(0,MIN(Q7-E47,N12)-M12)*O12)
        +(MAX(0,MIN(Q7-E47,N13)-M13)*O13)
        +(MAX(0,MIN(Q7-E47,N14)-M14)*O14))
)</f>
        <v>10094.59160483419</v>
      </c>
    </row>
    <row r="49" spans="2:5" ht="16" thickBot="1" x14ac:dyDescent="0.25">
      <c r="B49" s="227" t="s">
        <v>77</v>
      </c>
      <c r="C49" s="228">
        <f ca="1">IF('Roth comparison'!J7="",IF(E43&gt;E37,IF(ABS(E37-E43)&gt;10000,C49-(0.01*E37),C49-(0.0001*E37)),IF(ABS(E37-E43)&gt;10000,C49+(0.01*E37),C49+(0.0001*E37))),'Roth comparison'!J7)</f>
        <v>78622.955592820654</v>
      </c>
    </row>
    <row r="50" spans="2:5" x14ac:dyDescent="0.2">
      <c r="B50"/>
      <c r="C50" s="153"/>
    </row>
    <row r="51" spans="2:5" ht="16" thickBot="1" x14ac:dyDescent="0.25">
      <c r="B51" s="146"/>
    </row>
    <row r="52" spans="2:5" ht="16" thickBot="1" x14ac:dyDescent="0.25">
      <c r="B52" s="450" t="s">
        <v>92</v>
      </c>
      <c r="C52" s="451"/>
    </row>
    <row r="53" spans="2:5" x14ac:dyDescent="0.2">
      <c r="B53" s="83" t="s">
        <v>86</v>
      </c>
      <c r="C53" s="186">
        <f>C32</f>
        <v>62751.780000000028</v>
      </c>
      <c r="E53" s="6"/>
    </row>
    <row r="54" spans="2:5" x14ac:dyDescent="0.2">
      <c r="B54" s="9" t="s">
        <v>88</v>
      </c>
      <c r="C54" s="135">
        <f ca="1">E44</f>
        <v>19877.926142285218</v>
      </c>
    </row>
    <row r="55" spans="2:5" x14ac:dyDescent="0.2">
      <c r="B55" s="77" t="s">
        <v>89</v>
      </c>
      <c r="C55" s="184">
        <f ca="1">SUM(C53:C54)</f>
        <v>82629.706142285242</v>
      </c>
    </row>
    <row r="56" spans="2:5" ht="16" thickBot="1" x14ac:dyDescent="0.25">
      <c r="B56" s="24" t="s">
        <v>25</v>
      </c>
      <c r="C56" s="185">
        <f ca="1">(C29+C49+J42)/C16</f>
        <v>0.2212652490518624</v>
      </c>
    </row>
    <row r="57" spans="2:5" ht="16" thickBot="1" x14ac:dyDescent="0.25">
      <c r="B57"/>
    </row>
    <row r="58" spans="2:5" ht="16" thickBot="1" x14ac:dyDescent="0.25">
      <c r="B58" s="288" t="s">
        <v>157</v>
      </c>
      <c r="C58" s="287">
        <f ca="1">IF(ABS(('Solar &amp; Charitable &amp; Roth'!C25+'Solar &amp; Charitable &amp; Roth'!C27+'Solar &amp; Charitable &amp; Roth'!J46)-MAX(MIN('Solar &amp; Charitable &amp; Roth'!E43,('Solar &amp; Charitable &amp; Roth'!C25+'Solar &amp; Charitable &amp; Roth'!C27+'Solar &amp; Charitable &amp; Roth'!J46)),0))&gt;1000,('Solar &amp; Charitable &amp; Roth'!C25+'Solar &amp; Charitable &amp; Roth'!C27+'Solar &amp; Charitable &amp; Roth'!J46)-MAX(MIN('Solar &amp; Charitable &amp; Roth'!E43,('Solar &amp; Charitable &amp; Roth'!C25+'Solar &amp; Charitable &amp; Roth'!C27+'Solar &amp; Charitable &amp; Roth'!J46)),0),0)</f>
        <v>0</v>
      </c>
    </row>
    <row r="59" spans="2:5" x14ac:dyDescent="0.2">
      <c r="B59"/>
    </row>
    <row r="60" spans="2:5" x14ac:dyDescent="0.2">
      <c r="B60"/>
    </row>
    <row r="61" spans="2:5" x14ac:dyDescent="0.2">
      <c r="B61"/>
    </row>
    <row r="62" spans="2:5" x14ac:dyDescent="0.2">
      <c r="B62"/>
    </row>
    <row r="63" spans="2:5" x14ac:dyDescent="0.2">
      <c r="B63"/>
    </row>
    <row r="64" spans="2:5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</sheetData>
  <scenarios current="0" sqref="H29">
    <scenario name="test1" locked="1" count="1" user="Microsoft Office User" comment="Created by Microsoft Office User on 8/21/2025_x000a_Modified by Microsoft Office User on 8/23/2025">
      <inputCells r="D7" val="0.5" numFmtId="9"/>
    </scenario>
  </scenarios>
  <mergeCells count="19">
    <mergeCell ref="G30:Q30"/>
    <mergeCell ref="B4:D4"/>
    <mergeCell ref="G4:Q4"/>
    <mergeCell ref="G6:I6"/>
    <mergeCell ref="M6:O6"/>
    <mergeCell ref="I16:J16"/>
    <mergeCell ref="O16:P16"/>
    <mergeCell ref="G19:Q19"/>
    <mergeCell ref="G21:I21"/>
    <mergeCell ref="M21:O21"/>
    <mergeCell ref="I27:J27"/>
    <mergeCell ref="O27:P27"/>
    <mergeCell ref="B52:C52"/>
    <mergeCell ref="G32:I32"/>
    <mergeCell ref="M32:O32"/>
    <mergeCell ref="B36:C36"/>
    <mergeCell ref="D36:E36"/>
    <mergeCell ref="I41:J41"/>
    <mergeCell ref="O41:P41"/>
  </mergeCells>
  <pageMargins left="0.7" right="0.7" top="0.75" bottom="0.75" header="0.3" footer="0.3"/>
  <pageSetup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B0E7-AB9F-4F98-B79E-192D70E1BB61}">
  <dimension ref="B1:Q57"/>
  <sheetViews>
    <sheetView topLeftCell="C9" zoomScaleNormal="100" workbookViewId="0">
      <selection activeCell="J43" sqref="J43"/>
    </sheetView>
  </sheetViews>
  <sheetFormatPr baseColWidth="10" defaultColWidth="8.83203125" defaultRowHeight="15" x14ac:dyDescent="0.2"/>
  <cols>
    <col min="2" max="2" width="28.33203125" bestFit="1" customWidth="1"/>
    <col min="3" max="3" width="19.83203125" customWidth="1"/>
    <col min="4" max="5" width="19.6640625" bestFit="1" customWidth="1"/>
    <col min="6" max="6" width="19.5" customWidth="1"/>
    <col min="7" max="7" width="12.6640625" bestFit="1" customWidth="1"/>
    <col min="8" max="8" width="18.83203125" bestFit="1" customWidth="1"/>
    <col min="9" max="9" width="14.1640625" bestFit="1" customWidth="1"/>
    <col min="10" max="10" width="19.1640625" customWidth="1"/>
    <col min="11" max="11" width="17.33203125" bestFit="1" customWidth="1"/>
    <col min="12" max="12" width="14.33203125" bestFit="1" customWidth="1"/>
    <col min="13" max="13" width="12.6640625" bestFit="1" customWidth="1"/>
    <col min="14" max="14" width="18.83203125" bestFit="1" customWidth="1"/>
    <col min="15" max="15" width="12.6640625" bestFit="1" customWidth="1"/>
    <col min="16" max="16" width="13.5" bestFit="1" customWidth="1"/>
    <col min="17" max="17" width="13.5" customWidth="1"/>
    <col min="18" max="18" width="12.5" bestFit="1" customWidth="1"/>
    <col min="21" max="22" width="13" bestFit="1" customWidth="1"/>
    <col min="24" max="25" width="14.6640625" bestFit="1" customWidth="1"/>
  </cols>
  <sheetData>
    <row r="1" spans="2:17" ht="27" thickBot="1" x14ac:dyDescent="0.35">
      <c r="B1" s="456" t="s">
        <v>47</v>
      </c>
      <c r="C1" s="457"/>
      <c r="D1" s="457"/>
      <c r="E1" s="458"/>
    </row>
    <row r="3" spans="2:17" ht="16" thickBot="1" x14ac:dyDescent="0.25"/>
    <row r="4" spans="2:17" ht="16" thickBot="1" x14ac:dyDescent="0.25">
      <c r="B4" s="48"/>
      <c r="C4" s="25"/>
      <c r="D4" s="57" t="s">
        <v>3</v>
      </c>
      <c r="E4" s="57" t="s">
        <v>3</v>
      </c>
      <c r="F4" s="7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27" t="s">
        <v>13</v>
      </c>
      <c r="C5" s="76" t="str">
        <f>'Strategy comparison'!C4</f>
        <v>Married-Joint</v>
      </c>
      <c r="D5" s="58" t="s">
        <v>0</v>
      </c>
      <c r="E5" s="58" t="s">
        <v>5</v>
      </c>
      <c r="F5" s="85"/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28" t="s">
        <v>14</v>
      </c>
      <c r="C6" s="49">
        <f>'Strategy comparison'!C5</f>
        <v>400000</v>
      </c>
      <c r="D6" s="42">
        <v>1</v>
      </c>
      <c r="E6" s="42">
        <v>1</v>
      </c>
      <c r="F6" s="71"/>
      <c r="G6" s="419" t="s">
        <v>17</v>
      </c>
      <c r="H6" s="420"/>
      <c r="I6" s="421"/>
      <c r="J6" s="7" t="s">
        <v>121</v>
      </c>
      <c r="K6" s="7" t="s">
        <v>122</v>
      </c>
      <c r="L6" s="97"/>
      <c r="M6" s="419" t="s">
        <v>19</v>
      </c>
      <c r="N6" s="420"/>
      <c r="O6" s="421"/>
      <c r="P6" s="7" t="s">
        <v>121</v>
      </c>
      <c r="Q6" s="7" t="s">
        <v>122</v>
      </c>
    </row>
    <row r="7" spans="2:17" ht="16" thickBot="1" x14ac:dyDescent="0.25">
      <c r="B7" s="28" t="s">
        <v>15</v>
      </c>
      <c r="C7" s="49">
        <f>'Strategy comparison'!C6</f>
        <v>0</v>
      </c>
      <c r="D7" s="61" t="s">
        <v>48</v>
      </c>
      <c r="E7" s="61" t="s">
        <v>48</v>
      </c>
      <c r="F7" s="86"/>
      <c r="G7" s="30"/>
      <c r="H7" s="31"/>
      <c r="I7" s="32"/>
      <c r="J7" s="69">
        <f>C12</f>
        <v>400000</v>
      </c>
      <c r="K7" s="69">
        <f>C12-C23</f>
        <v>500800</v>
      </c>
      <c r="L7" s="97"/>
      <c r="M7" s="30"/>
      <c r="N7" s="31"/>
      <c r="O7" s="32"/>
      <c r="P7" s="39">
        <f>J7</f>
        <v>400000</v>
      </c>
      <c r="Q7" s="33">
        <f>K7</f>
        <v>500800</v>
      </c>
    </row>
    <row r="8" spans="2:17" ht="16" thickBot="1" x14ac:dyDescent="0.25">
      <c r="B8" s="28" t="s">
        <v>49</v>
      </c>
      <c r="C8" s="49">
        <f>'Strategy comparison'!C7</f>
        <v>0</v>
      </c>
      <c r="D8" s="62" t="s">
        <v>30</v>
      </c>
      <c r="E8" s="62" t="s">
        <v>30</v>
      </c>
      <c r="F8" s="86"/>
      <c r="G8" s="36">
        <f>'Tax Tables'!B6</f>
        <v>0</v>
      </c>
      <c r="H8" s="43">
        <f>'Tax Tables'!C6</f>
        <v>24800</v>
      </c>
      <c r="I8" s="37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38">
        <f t="shared" ref="Q8:Q13" si="3">IF(IF(Q$7&gt;N8,(N8-M8)*O8,(Q$7-M8)*O8)&gt;0,IF(Q$7&gt;N8,(N8-M8)*O8,(Q$7-M8)*O8),0)</f>
        <v>1240</v>
      </c>
    </row>
    <row r="9" spans="2:17" ht="16" thickBot="1" x14ac:dyDescent="0.25">
      <c r="B9" s="27" t="s">
        <v>96</v>
      </c>
      <c r="C9" s="49">
        <f>'Strategy comparison'!C9</f>
        <v>0</v>
      </c>
      <c r="D9" s="63">
        <v>8</v>
      </c>
      <c r="E9" s="63">
        <v>10</v>
      </c>
      <c r="F9" s="1"/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1">
        <f t="shared" si="3"/>
        <v>4559.88</v>
      </c>
    </row>
    <row r="10" spans="2:17" x14ac:dyDescent="0.2">
      <c r="B10" s="27" t="s">
        <v>98</v>
      </c>
      <c r="C10" s="49">
        <f>'Strategy comparison'!C10</f>
        <v>0</v>
      </c>
      <c r="D10" s="2" t="s">
        <v>51</v>
      </c>
      <c r="E10" s="2" t="s">
        <v>51</v>
      </c>
      <c r="F10" s="79"/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1">
        <f t="shared" si="3"/>
        <v>12165.78</v>
      </c>
    </row>
    <row r="11" spans="2:17" x14ac:dyDescent="0.2">
      <c r="B11" s="27" t="s">
        <v>97</v>
      </c>
      <c r="C11" s="49">
        <f>'Strategy comparison'!C11</f>
        <v>0</v>
      </c>
      <c r="D11" s="3" t="s">
        <v>52</v>
      </c>
      <c r="E11" s="3" t="s">
        <v>52</v>
      </c>
      <c r="F11" s="79"/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1">
        <f t="shared" si="1"/>
        <v>46115.759999999995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1">
        <f t="shared" si="3"/>
        <v>23057.759999999998</v>
      </c>
    </row>
    <row r="12" spans="2:17" ht="16" thickBot="1" x14ac:dyDescent="0.25">
      <c r="B12" s="28" t="s">
        <v>100</v>
      </c>
      <c r="C12" s="49">
        <f>SUM(C6:C9)+C11</f>
        <v>400000</v>
      </c>
      <c r="D12" s="129">
        <f>C23/D9</f>
        <v>-12600</v>
      </c>
      <c r="E12" s="5">
        <f>C24/E9</f>
        <v>0</v>
      </c>
      <c r="F12" s="87"/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1">
        <f t="shared" si="1"/>
        <v>31119.68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1">
        <f t="shared" si="3"/>
        <v>17423.68</v>
      </c>
    </row>
    <row r="13" spans="2:17" x14ac:dyDescent="0.2">
      <c r="B13" s="28" t="s">
        <v>20</v>
      </c>
      <c r="C13" s="49">
        <f>'Strategy comparison'!C8</f>
        <v>0</v>
      </c>
      <c r="D13" s="3" t="s">
        <v>53</v>
      </c>
      <c r="E13" s="3" t="s">
        <v>54</v>
      </c>
      <c r="F13" s="79"/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1">
        <f t="shared" si="1"/>
        <v>0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1">
        <f t="shared" si="3"/>
        <v>85600.9</v>
      </c>
    </row>
    <row r="14" spans="2:17" ht="16" thickBot="1" x14ac:dyDescent="0.25">
      <c r="B14" s="28" t="s">
        <v>102</v>
      </c>
      <c r="C14" s="49">
        <f>C13+C10</f>
        <v>0</v>
      </c>
      <c r="D14" s="5">
        <f>C23*0.05</f>
        <v>-5040</v>
      </c>
      <c r="E14" s="5">
        <f>C24*0.05</f>
        <v>0</v>
      </c>
      <c r="F14" s="87"/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4">
        <f>IF(K7&gt;=G14,(K7-G14)*I14,0)</f>
        <v>0</v>
      </c>
      <c r="L14" s="97"/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4">
        <f>IF(Q7&gt;=M14,(Q7-M14)*O14,0)</f>
        <v>0</v>
      </c>
    </row>
    <row r="15" spans="2:17" ht="16" thickBot="1" x14ac:dyDescent="0.25">
      <c r="B15" s="28" t="s">
        <v>18</v>
      </c>
      <c r="C15" s="49">
        <f>C12+C14</f>
        <v>400000</v>
      </c>
      <c r="D15" s="452" t="s">
        <v>27</v>
      </c>
      <c r="E15" s="453"/>
      <c r="F15" s="127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8"/>
    </row>
    <row r="16" spans="2:17" ht="16" thickBot="1" x14ac:dyDescent="0.25">
      <c r="B16" s="28" t="s">
        <v>21</v>
      </c>
      <c r="C16" s="49">
        <f>IF(C5="Single",O17,IF(C5="Married-Joint",I17,"Filing Status?"))</f>
        <v>81195.419999999984</v>
      </c>
      <c r="D16" s="454">
        <f>'Strategy comparison'!C12</f>
        <v>0</v>
      </c>
      <c r="E16" s="455"/>
      <c r="F16" s="87"/>
      <c r="G16" s="96"/>
      <c r="H16" s="97"/>
      <c r="I16" s="422" t="s">
        <v>26</v>
      </c>
      <c r="J16" s="423"/>
      <c r="K16" s="104" t="s">
        <v>38</v>
      </c>
      <c r="L16" s="97"/>
      <c r="M16" s="97"/>
      <c r="N16" s="97"/>
      <c r="O16" s="422" t="s">
        <v>26</v>
      </c>
      <c r="P16" s="423"/>
      <c r="Q16" s="104" t="s">
        <v>38</v>
      </c>
    </row>
    <row r="17" spans="2:17" ht="16" thickBot="1" x14ac:dyDescent="0.25">
      <c r="B17" s="28" t="s">
        <v>22</v>
      </c>
      <c r="C17" s="52">
        <f>IF(C5="Single",O42,IF(C5="Married-Joint",I42,"Filing Status?"))</f>
        <v>12000</v>
      </c>
      <c r="D17" s="3" t="s">
        <v>55</v>
      </c>
      <c r="E17" s="3" t="s">
        <v>55</v>
      </c>
      <c r="F17" s="79"/>
      <c r="G17" s="101"/>
      <c r="H17" s="100"/>
      <c r="I17" s="106">
        <f>SUM(J8:J14)</f>
        <v>81195.419999999984</v>
      </c>
      <c r="J17" s="106">
        <f>SUM(K8:K14)</f>
        <v>113167.09999999998</v>
      </c>
      <c r="K17" s="107">
        <f>I17-J17</f>
        <v>-31971.679999999993</v>
      </c>
      <c r="L17" s="100"/>
      <c r="M17" s="100"/>
      <c r="N17" s="100"/>
      <c r="O17" s="106">
        <f>SUM(P8:P14)</f>
        <v>108768</v>
      </c>
      <c r="P17" s="106">
        <f>SUM(Q8:Q14)</f>
        <v>144048</v>
      </c>
      <c r="Q17" s="107">
        <f>O17-P17</f>
        <v>-35280</v>
      </c>
    </row>
    <row r="18" spans="2:17" ht="16" thickBot="1" x14ac:dyDescent="0.25">
      <c r="B18" s="28" t="s">
        <v>23</v>
      </c>
      <c r="C18" s="52">
        <f>IF(C5="Single",O28,IF(C5="Married-Joint",I28,"Filing Status?"))</f>
        <v>0</v>
      </c>
      <c r="D18" s="5">
        <f>D12+D14</f>
        <v>-17640</v>
      </c>
      <c r="E18" s="5">
        <f>E12+E14+D16</f>
        <v>0</v>
      </c>
      <c r="F18" s="87"/>
      <c r="G18" s="6"/>
    </row>
    <row r="19" spans="2:17" x14ac:dyDescent="0.2">
      <c r="B19" s="28" t="s">
        <v>90</v>
      </c>
      <c r="C19" s="178">
        <f>J45</f>
        <v>9530.4</v>
      </c>
      <c r="D19" s="3" t="s">
        <v>58</v>
      </c>
      <c r="E19" s="3" t="s">
        <v>58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27" t="s">
        <v>24</v>
      </c>
      <c r="C20" s="50">
        <f>SUM(C16:C19)</f>
        <v>102725.81999999998</v>
      </c>
      <c r="D20" s="5">
        <f>D12*0.6</f>
        <v>-7560</v>
      </c>
      <c r="E20" s="5">
        <f>E12*0.5</f>
        <v>0</v>
      </c>
      <c r="G20" s="96"/>
      <c r="H20" s="100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26" t="s">
        <v>25</v>
      </c>
      <c r="C21" s="59">
        <f>C20/C15</f>
        <v>0.25681454999999992</v>
      </c>
      <c r="G21" s="419" t="s">
        <v>17</v>
      </c>
      <c r="H21" s="420"/>
      <c r="I21" s="421"/>
      <c r="J21" s="188" t="s">
        <v>108</v>
      </c>
      <c r="K21" s="189" t="s">
        <v>117</v>
      </c>
      <c r="L21" s="97"/>
      <c r="M21" s="419" t="s">
        <v>19</v>
      </c>
      <c r="N21" s="420"/>
      <c r="O21" s="421"/>
      <c r="P21" s="188" t="s">
        <v>108</v>
      </c>
      <c r="Q21" s="189" t="s">
        <v>117</v>
      </c>
    </row>
    <row r="22" spans="2:17" ht="16" thickBot="1" x14ac:dyDescent="0.25">
      <c r="B22" s="26"/>
      <c r="C22" s="55"/>
      <c r="D22" s="6"/>
      <c r="G22" s="30"/>
      <c r="H22" s="31"/>
      <c r="I22" s="32"/>
      <c r="J22" s="73">
        <f>C14</f>
        <v>0</v>
      </c>
      <c r="K22" s="69">
        <f>C27</f>
        <v>0</v>
      </c>
      <c r="L22" s="97"/>
      <c r="M22" s="30"/>
      <c r="N22" s="31"/>
      <c r="O22" s="32"/>
      <c r="P22" s="69">
        <f>J22</f>
        <v>0</v>
      </c>
      <c r="Q22" s="80">
        <f>K22</f>
        <v>0</v>
      </c>
    </row>
    <row r="23" spans="2:17" ht="16" thickBot="1" x14ac:dyDescent="0.25">
      <c r="B23" s="27" t="s">
        <v>56</v>
      </c>
      <c r="C23" s="52">
        <f>IF('Strategy comparison'!K18="",C7*D6,'Strategy comparison'!K18)</f>
        <v>-100800</v>
      </c>
      <c r="G23" s="36">
        <f>'Tax Tables'!B18</f>
        <v>0</v>
      </c>
      <c r="H23" s="43">
        <f>'Tax Tables'!C18</f>
        <v>98900</v>
      </c>
      <c r="I23" s="70">
        <f>'Tax Tables'!D18</f>
        <v>0</v>
      </c>
      <c r="J23" s="38">
        <f t="shared" ref="J23:K25" si="4">IF(J$22&gt;$H23,($H23-$G23)*$I23,MAX((J$22-$G23),0)*$I23)</f>
        <v>0</v>
      </c>
      <c r="K23" s="38">
        <f t="shared" si="4"/>
        <v>0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38">
        <f t="shared" ref="P23:Q25" si="5">IF(P$22&gt;$N23,($N23-$M23)*$O23,MAX((P$22-$M23),0)*$O23)</f>
        <v>0</v>
      </c>
      <c r="Q23" s="38">
        <f t="shared" si="5"/>
        <v>0</v>
      </c>
    </row>
    <row r="24" spans="2:17" ht="16" thickBot="1" x14ac:dyDescent="0.25">
      <c r="B24" s="27" t="s">
        <v>57</v>
      </c>
      <c r="C24" s="52">
        <f>IF('Strategy comparison'!K20="",C13*E6,'Strategy comparison'!K20)</f>
        <v>0</v>
      </c>
      <c r="G24" s="34">
        <f>'Tax Tables'!B19</f>
        <v>98901</v>
      </c>
      <c r="H24" s="44">
        <f>'Tax Tables'!C19</f>
        <v>613700</v>
      </c>
      <c r="I24" s="71">
        <f>'Tax Tables'!D19</f>
        <v>0.15</v>
      </c>
      <c r="J24" s="38">
        <f t="shared" si="4"/>
        <v>0</v>
      </c>
      <c r="K24" s="38">
        <f t="shared" si="4"/>
        <v>0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38">
        <f t="shared" si="5"/>
        <v>0</v>
      </c>
      <c r="Q24" s="38">
        <f t="shared" si="5"/>
        <v>0</v>
      </c>
    </row>
    <row r="25" spans="2:17" ht="16" thickBot="1" x14ac:dyDescent="0.25">
      <c r="B25" s="27" t="s">
        <v>112</v>
      </c>
      <c r="C25" s="52">
        <f>C12-C23</f>
        <v>500800</v>
      </c>
      <c r="G25" s="35">
        <f>'Tax Tables'!B20</f>
        <v>613701</v>
      </c>
      <c r="H25" s="45">
        <f>'Tax Tables'!C20</f>
        <v>99999999999</v>
      </c>
      <c r="I25" s="72">
        <f>'Tax Tables'!D20</f>
        <v>0.2</v>
      </c>
      <c r="J25" s="38">
        <f t="shared" si="4"/>
        <v>0</v>
      </c>
      <c r="K25" s="38">
        <f t="shared" si="4"/>
        <v>0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38">
        <f t="shared" si="5"/>
        <v>0</v>
      </c>
      <c r="Q25" s="38">
        <f t="shared" si="5"/>
        <v>0</v>
      </c>
    </row>
    <row r="26" spans="2:17" ht="16" thickBot="1" x14ac:dyDescent="0.25">
      <c r="B26" s="27" t="s">
        <v>59</v>
      </c>
      <c r="C26" s="52">
        <f>C13-C24</f>
        <v>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8"/>
    </row>
    <row r="27" spans="2:17" ht="16" thickBot="1" x14ac:dyDescent="0.25">
      <c r="B27" s="27" t="s">
        <v>104</v>
      </c>
      <c r="C27" s="52">
        <f>C26+C10</f>
        <v>0</v>
      </c>
      <c r="G27" s="96"/>
      <c r="H27" s="97"/>
      <c r="I27" s="422" t="s">
        <v>26</v>
      </c>
      <c r="J27" s="423"/>
      <c r="K27" s="109" t="s">
        <v>63</v>
      </c>
      <c r="L27" s="97"/>
      <c r="M27" s="97"/>
      <c r="N27" s="97"/>
      <c r="O27" s="422" t="s">
        <v>26</v>
      </c>
      <c r="P27" s="423"/>
      <c r="Q27" s="109" t="s">
        <v>63</v>
      </c>
    </row>
    <row r="28" spans="2:17" ht="16" thickBot="1" x14ac:dyDescent="0.25">
      <c r="B28" s="27" t="s">
        <v>150</v>
      </c>
      <c r="C28" s="52">
        <f>IF(C5="Single",P17,IF(C5="Married-Joint",J17,"Filing Status?"))</f>
        <v>113167.09999999998</v>
      </c>
      <c r="G28" s="101"/>
      <c r="H28" s="100"/>
      <c r="I28" s="122">
        <f>SUM(J23:J25)</f>
        <v>0</v>
      </c>
      <c r="J28" s="111">
        <f>SUM(K23:K25)</f>
        <v>0</v>
      </c>
      <c r="K28" s="123">
        <f>I28-J28</f>
        <v>0</v>
      </c>
      <c r="L28" s="100"/>
      <c r="M28" s="100"/>
      <c r="N28" s="100"/>
      <c r="O28" s="122">
        <f>SUM(P23:P25)</f>
        <v>0</v>
      </c>
      <c r="P28" s="111">
        <f>SUM(Q23:Q25)</f>
        <v>0</v>
      </c>
      <c r="Q28" s="124">
        <f>O28-P28</f>
        <v>0</v>
      </c>
    </row>
    <row r="29" spans="2:17" ht="16" thickBot="1" x14ac:dyDescent="0.25">
      <c r="B29" s="27" t="s">
        <v>42</v>
      </c>
      <c r="C29" s="56">
        <f>IF(C5="Single",P42,IF(C5="Married-Joint",J42,"Filing Status?"))</f>
        <v>12000</v>
      </c>
      <c r="L29" s="97"/>
    </row>
    <row r="30" spans="2:17" x14ac:dyDescent="0.2">
      <c r="B30" s="27" t="s">
        <v>61</v>
      </c>
      <c r="C30" s="56">
        <f>IF(C5="Single",P28,IF(C5="Married-Joint",J28,"Filing Status?"))</f>
        <v>0</v>
      </c>
      <c r="D30" s="6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 s="27" t="s">
        <v>90</v>
      </c>
      <c r="C31" s="177">
        <f>J45</f>
        <v>9530.4</v>
      </c>
      <c r="D31" s="6"/>
      <c r="E31" s="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8"/>
    </row>
    <row r="32" spans="2:17" ht="16" thickBot="1" x14ac:dyDescent="0.25">
      <c r="B32" s="27" t="s">
        <v>62</v>
      </c>
      <c r="C32" s="56"/>
      <c r="D32" s="6"/>
      <c r="G32" s="419" t="s">
        <v>17</v>
      </c>
      <c r="H32" s="420"/>
      <c r="I32" s="421"/>
      <c r="J32" s="7" t="s">
        <v>18</v>
      </c>
      <c r="K32" s="7" t="s">
        <v>66</v>
      </c>
      <c r="L32" s="97"/>
      <c r="M32" s="419" t="s">
        <v>19</v>
      </c>
      <c r="N32" s="420"/>
      <c r="O32" s="421"/>
      <c r="P32" s="7" t="s">
        <v>18</v>
      </c>
      <c r="Q32" s="7" t="s">
        <v>50</v>
      </c>
    </row>
    <row r="33" spans="2:17" ht="16" thickBot="1" x14ac:dyDescent="0.25">
      <c r="B33" s="27" t="s">
        <v>43</v>
      </c>
      <c r="C33" s="50">
        <f>SUM(C28:C32)</f>
        <v>134697.49999999997</v>
      </c>
      <c r="G33" s="9"/>
      <c r="J33" s="73">
        <f>C15</f>
        <v>400000</v>
      </c>
      <c r="K33" s="73">
        <f>J33-SUM(C7,C13)</f>
        <v>400000</v>
      </c>
      <c r="L33" s="97"/>
      <c r="M33" s="9"/>
      <c r="P33" s="20">
        <f>J33</f>
        <v>400000</v>
      </c>
      <c r="Q33" s="121">
        <f>K33</f>
        <v>400000</v>
      </c>
    </row>
    <row r="34" spans="2:17" x14ac:dyDescent="0.2">
      <c r="B34" s="26" t="s">
        <v>25</v>
      </c>
      <c r="C34" s="53">
        <f>C37/C15</f>
        <v>0.27374374999999995</v>
      </c>
      <c r="G34" s="60">
        <f>'Tax Tables'!B25</f>
        <v>0</v>
      </c>
      <c r="H34" s="65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38">
        <f>IF(IF(K$33&gt;H34,(H34-G34)*I34,(K$33-G34)*I34)&gt;0,IF(K$33&gt;H34,(H34-G34)*I34,(K$33-G34)*I34),0)</f>
        <v>12000</v>
      </c>
      <c r="L34" s="97"/>
      <c r="M34" s="60">
        <f>'Tax Tables'!F25</f>
        <v>0</v>
      </c>
      <c r="N34" s="65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38">
        <f>IF(IF(Q$33&gt;N34,(N34-M34)*O34,(Q$33-M34)*O34)&gt;0,IF(Q$33&gt;N34,(N34-M34)*O34,(Q$33-M34)*O34),0)</f>
        <v>12000</v>
      </c>
    </row>
    <row r="35" spans="2:17" x14ac:dyDescent="0.2">
      <c r="B35" s="27" t="s">
        <v>114</v>
      </c>
      <c r="C35" s="52">
        <f>'No planning'!C23</f>
        <v>98895.419999999984</v>
      </c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1">
        <f>IF(IF(Q$33&gt;N35,(N35-M35)*O35,(Q$33-M35)*O35)&gt;0,IF(Q$33&gt;N35,(N35-M35)*O35,(Q$33-M35)*O35),0)</f>
        <v>0</v>
      </c>
    </row>
    <row r="36" spans="2:17" ht="16" thickBot="1" x14ac:dyDescent="0.25">
      <c r="B36" s="47" t="s">
        <v>45</v>
      </c>
      <c r="C36" s="64">
        <f>D18+E18</f>
        <v>-17640</v>
      </c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1">
        <f>IF(IF(Q$33&gt;N36,(N36-M36)*O36,(Q$33-M36)*O36)&gt;0,IF(Q$33&gt;N36,(N36-M36)*O36,(Q$33-M36)*O36),0)</f>
        <v>0</v>
      </c>
    </row>
    <row r="37" spans="2:17" ht="16" thickBot="1" x14ac:dyDescent="0.25">
      <c r="B37" s="84" t="s">
        <v>11</v>
      </c>
      <c r="C37" s="126">
        <f>C36+C33+C39</f>
        <v>109497.49999999997</v>
      </c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1">
        <f>IF(IF(Q$33&gt;N37,(N37-M37)*O37,(Q$33-M37)*O37)&gt;0,IF(Q$33&gt;N37,(N37-M37)*O37,(Q$33-M37)*O37),0)</f>
        <v>0</v>
      </c>
    </row>
    <row r="38" spans="2:17" ht="16" thickBot="1" x14ac:dyDescent="0.25">
      <c r="B38" s="24" t="s">
        <v>64</v>
      </c>
      <c r="C38" s="54">
        <f>C35-C37</f>
        <v>-10602.079999999987</v>
      </c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1">
        <f>IF(IF(Q$33&gt;N38,(N38-M38)*O38,(Q$33-M38)*O38)&gt;0,IF(Q$33&gt;N38,(N38-M38)*O38,(Q$33-M38)*O38),0)</f>
        <v>0</v>
      </c>
    </row>
    <row r="39" spans="2:17" ht="16" thickBot="1" x14ac:dyDescent="0.25">
      <c r="B39" s="24" t="s">
        <v>65</v>
      </c>
      <c r="C39" s="128">
        <f>SUM(D20:E20)</f>
        <v>-7560</v>
      </c>
      <c r="G39" s="15"/>
      <c r="H39" s="12"/>
      <c r="I39" s="41"/>
      <c r="J39" s="35"/>
      <c r="K39" s="14"/>
      <c r="L39" s="97"/>
      <c r="M39" s="15"/>
      <c r="N39" s="12"/>
      <c r="O39" s="22"/>
      <c r="P39" s="14"/>
      <c r="Q39" s="14"/>
    </row>
    <row r="40" spans="2:17" ht="16" thickBot="1" x14ac:dyDescent="0.25">
      <c r="B40" s="84" t="s">
        <v>120</v>
      </c>
      <c r="C40" s="126">
        <f>C38+C39</f>
        <v>-18162.079999999987</v>
      </c>
      <c r="F40" s="4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8"/>
    </row>
    <row r="41" spans="2:17" ht="16" thickBot="1" x14ac:dyDescent="0.25">
      <c r="G41" s="96"/>
      <c r="H41" s="97"/>
      <c r="I41" s="422" t="s">
        <v>26</v>
      </c>
      <c r="J41" s="423"/>
      <c r="K41" s="125" t="s">
        <v>38</v>
      </c>
      <c r="L41" s="97"/>
      <c r="M41" s="97"/>
      <c r="N41" s="97"/>
      <c r="O41" s="422" t="s">
        <v>26</v>
      </c>
      <c r="P41" s="423"/>
      <c r="Q41" s="125" t="s">
        <v>38</v>
      </c>
    </row>
    <row r="42" spans="2:17" ht="16" thickBot="1" x14ac:dyDescent="0.25">
      <c r="D42" s="4"/>
      <c r="E42" s="4"/>
      <c r="G42" s="101"/>
      <c r="H42" s="100"/>
      <c r="I42" s="106">
        <f>SUM(J34:J39)</f>
        <v>12000</v>
      </c>
      <c r="J42" s="106">
        <f>SUM(K34:K39)</f>
        <v>12000</v>
      </c>
      <c r="K42" s="107">
        <f>I42-J42</f>
        <v>0</v>
      </c>
      <c r="L42" s="100"/>
      <c r="M42" s="100"/>
      <c r="N42" s="100"/>
      <c r="O42" s="106">
        <f>SUM(P34:P39)</f>
        <v>12000</v>
      </c>
      <c r="P42" s="106">
        <f>SUM(Q34:Q39)</f>
        <v>12000</v>
      </c>
      <c r="Q42" s="107">
        <f>O42-P42</f>
        <v>0</v>
      </c>
    </row>
    <row r="43" spans="2:17" ht="16" thickBot="1" x14ac:dyDescent="0.25"/>
    <row r="44" spans="2:17" x14ac:dyDescent="0.2">
      <c r="I44" s="181" t="s">
        <v>195</v>
      </c>
      <c r="J44" s="175">
        <f>'Tax Tables'!$C$34</f>
        <v>3.7999999999999999E-2</v>
      </c>
    </row>
    <row r="45" spans="2:17" ht="16" thickBot="1" x14ac:dyDescent="0.25">
      <c r="I45" s="174">
        <f>SUM(C8:C11)</f>
        <v>0</v>
      </c>
      <c r="J45" s="336">
        <f>IF(C15-C23-C24-IF(C5="Married-Joint",250000,200000)&gt;I45,(C15-C23-C24-IF(C5="Married-Joint",250000,200000))*J44, I45*J44)</f>
        <v>9530.4</v>
      </c>
    </row>
    <row r="46" spans="2:17" x14ac:dyDescent="0.2">
      <c r="F46" s="1"/>
    </row>
    <row r="47" spans="2:17" x14ac:dyDescent="0.2">
      <c r="F47" s="23"/>
    </row>
    <row r="48" spans="2:17" x14ac:dyDescent="0.2">
      <c r="D48" s="18"/>
      <c r="E48" s="1"/>
    </row>
    <row r="49" spans="2:5" x14ac:dyDescent="0.2">
      <c r="D49" s="4"/>
      <c r="E49" s="23"/>
    </row>
    <row r="56" spans="2:5" x14ac:dyDescent="0.2">
      <c r="C56" s="18"/>
    </row>
    <row r="57" spans="2:5" x14ac:dyDescent="0.2">
      <c r="B57" s="4"/>
      <c r="C57" s="4"/>
    </row>
  </sheetData>
  <mergeCells count="18">
    <mergeCell ref="O41:P41"/>
    <mergeCell ref="G30:Q30"/>
    <mergeCell ref="G4:Q4"/>
    <mergeCell ref="I27:J27"/>
    <mergeCell ref="O27:P27"/>
    <mergeCell ref="G19:Q19"/>
    <mergeCell ref="G32:I32"/>
    <mergeCell ref="M6:O6"/>
    <mergeCell ref="G21:I21"/>
    <mergeCell ref="M21:O21"/>
    <mergeCell ref="M32:O32"/>
    <mergeCell ref="O16:P16"/>
    <mergeCell ref="I16:J16"/>
    <mergeCell ref="D15:E15"/>
    <mergeCell ref="D16:E16"/>
    <mergeCell ref="B1:E1"/>
    <mergeCell ref="I41:J41"/>
    <mergeCell ref="G6:I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9E16-2531-4F44-82B5-B4CEB89AFD5F}">
  <dimension ref="B1:Q57"/>
  <sheetViews>
    <sheetView topLeftCell="C16" zoomScaleNormal="100" workbookViewId="0">
      <selection activeCell="F30" sqref="F30"/>
    </sheetView>
  </sheetViews>
  <sheetFormatPr baseColWidth="10" defaultColWidth="8.83203125" defaultRowHeight="15" x14ac:dyDescent="0.2"/>
  <cols>
    <col min="2" max="2" width="28.33203125" bestFit="1" customWidth="1"/>
    <col min="3" max="3" width="19.83203125" customWidth="1"/>
    <col min="4" max="5" width="19.6640625" bestFit="1" customWidth="1"/>
    <col min="6" max="6" width="19.5" customWidth="1"/>
    <col min="7" max="7" width="12.6640625" bestFit="1" customWidth="1"/>
    <col min="8" max="8" width="18.83203125" bestFit="1" customWidth="1"/>
    <col min="9" max="9" width="14.1640625" bestFit="1" customWidth="1"/>
    <col min="10" max="10" width="19.1640625" customWidth="1"/>
    <col min="11" max="11" width="17.33203125" bestFit="1" customWidth="1"/>
    <col min="12" max="12" width="14.33203125" bestFit="1" customWidth="1"/>
    <col min="13" max="13" width="12.6640625" bestFit="1" customWidth="1"/>
    <col min="14" max="14" width="18.83203125" bestFit="1" customWidth="1"/>
    <col min="15" max="15" width="12.6640625" bestFit="1" customWidth="1"/>
    <col min="16" max="16" width="13.5" bestFit="1" customWidth="1"/>
    <col min="17" max="17" width="13.5" customWidth="1"/>
    <col min="18" max="18" width="12.5" bestFit="1" customWidth="1"/>
    <col min="21" max="22" width="13" bestFit="1" customWidth="1"/>
    <col min="24" max="25" width="14.6640625" bestFit="1" customWidth="1"/>
  </cols>
  <sheetData>
    <row r="1" spans="2:17" ht="27" thickBot="1" x14ac:dyDescent="0.35">
      <c r="B1" s="456" t="s">
        <v>47</v>
      </c>
      <c r="C1" s="457"/>
      <c r="D1" s="457"/>
      <c r="E1" s="458"/>
    </row>
    <row r="3" spans="2:17" ht="16" thickBot="1" x14ac:dyDescent="0.25"/>
    <row r="4" spans="2:17" ht="16" thickBot="1" x14ac:dyDescent="0.25">
      <c r="B4" s="48"/>
      <c r="C4" s="25"/>
      <c r="D4" s="57" t="s">
        <v>3</v>
      </c>
      <c r="E4" s="57" t="s">
        <v>3</v>
      </c>
      <c r="F4" s="7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27" t="s">
        <v>13</v>
      </c>
      <c r="C5" s="76" t="str">
        <f>'Strategy comparison'!C4</f>
        <v>Married-Joint</v>
      </c>
      <c r="D5" s="58" t="s">
        <v>0</v>
      </c>
      <c r="E5" s="58" t="s">
        <v>5</v>
      </c>
      <c r="F5" s="85"/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28" t="s">
        <v>14</v>
      </c>
      <c r="C6" s="49">
        <f>'Strategy comparison'!C5</f>
        <v>400000</v>
      </c>
      <c r="D6" s="42">
        <v>1</v>
      </c>
      <c r="E6" s="42">
        <v>1</v>
      </c>
      <c r="F6" s="71"/>
      <c r="G6" s="419" t="s">
        <v>17</v>
      </c>
      <c r="H6" s="420"/>
      <c r="I6" s="421"/>
      <c r="J6" s="7" t="s">
        <v>121</v>
      </c>
      <c r="K6" s="7" t="s">
        <v>122</v>
      </c>
      <c r="L6" s="97"/>
      <c r="M6" s="419" t="s">
        <v>19</v>
      </c>
      <c r="N6" s="420"/>
      <c r="O6" s="421"/>
      <c r="P6" s="7" t="s">
        <v>121</v>
      </c>
      <c r="Q6" s="7" t="s">
        <v>122</v>
      </c>
    </row>
    <row r="7" spans="2:17" ht="16" thickBot="1" x14ac:dyDescent="0.25">
      <c r="B7" s="28" t="s">
        <v>15</v>
      </c>
      <c r="C7" s="49">
        <f>'Strategy comparison'!C6-'DB comparison'!C2</f>
        <v>0</v>
      </c>
      <c r="D7" s="61" t="s">
        <v>48</v>
      </c>
      <c r="E7" s="61" t="s">
        <v>48</v>
      </c>
      <c r="F7" s="86"/>
      <c r="G7" s="30"/>
      <c r="H7" s="31"/>
      <c r="I7" s="32"/>
      <c r="J7" s="69">
        <f>C12</f>
        <v>400000</v>
      </c>
      <c r="K7" s="69">
        <f>C12-C23</f>
        <v>400000</v>
      </c>
      <c r="L7" s="97"/>
      <c r="M7" s="30"/>
      <c r="N7" s="31"/>
      <c r="O7" s="32"/>
      <c r="P7" s="39">
        <f>J7</f>
        <v>400000</v>
      </c>
      <c r="Q7" s="33">
        <f>K7</f>
        <v>400000</v>
      </c>
    </row>
    <row r="8" spans="2:17" ht="16" thickBot="1" x14ac:dyDescent="0.25">
      <c r="B8" s="28" t="s">
        <v>49</v>
      </c>
      <c r="C8" s="49">
        <f>'Strategy comparison'!C7</f>
        <v>0</v>
      </c>
      <c r="D8" s="62" t="s">
        <v>30</v>
      </c>
      <c r="E8" s="62" t="s">
        <v>30</v>
      </c>
      <c r="F8" s="86"/>
      <c r="G8" s="36">
        <f>'Tax Tables'!B6</f>
        <v>0</v>
      </c>
      <c r="H8" s="43">
        <f>'Tax Tables'!C6</f>
        <v>24800</v>
      </c>
      <c r="I8" s="37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38">
        <f t="shared" ref="Q8:Q13" si="3">IF(IF(Q$7&gt;N8,(N8-M8)*O8,(Q$7-M8)*O8)&gt;0,IF(Q$7&gt;N8,(N8-M8)*O8,(Q$7-M8)*O8),0)</f>
        <v>1240</v>
      </c>
    </row>
    <row r="9" spans="2:17" ht="16" thickBot="1" x14ac:dyDescent="0.25">
      <c r="B9" s="27" t="s">
        <v>96</v>
      </c>
      <c r="C9" s="49">
        <f>'Strategy comparison'!C9</f>
        <v>0</v>
      </c>
      <c r="D9" s="63">
        <v>8</v>
      </c>
      <c r="E9" s="63">
        <v>10</v>
      </c>
      <c r="F9" s="1"/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1">
        <f t="shared" si="3"/>
        <v>4559.88</v>
      </c>
    </row>
    <row r="10" spans="2:17" x14ac:dyDescent="0.2">
      <c r="B10" s="27" t="s">
        <v>98</v>
      </c>
      <c r="C10" s="49">
        <f>'Strategy comparison'!C10</f>
        <v>0</v>
      </c>
      <c r="D10" s="2" t="s">
        <v>51</v>
      </c>
      <c r="E10" s="2" t="s">
        <v>51</v>
      </c>
      <c r="F10" s="79"/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1">
        <f t="shared" si="3"/>
        <v>12165.78</v>
      </c>
    </row>
    <row r="11" spans="2:17" x14ac:dyDescent="0.2">
      <c r="B11" s="27" t="s">
        <v>97</v>
      </c>
      <c r="C11" s="49">
        <f>'Strategy comparison'!C11</f>
        <v>0</v>
      </c>
      <c r="D11" s="3" t="s">
        <v>52</v>
      </c>
      <c r="E11" s="3" t="s">
        <v>52</v>
      </c>
      <c r="F11" s="79"/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1">
        <f t="shared" si="1"/>
        <v>45263.759999999995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1">
        <f t="shared" si="3"/>
        <v>23057.759999999998</v>
      </c>
    </row>
    <row r="12" spans="2:17" ht="16" thickBot="1" x14ac:dyDescent="0.25">
      <c r="B12" s="28" t="s">
        <v>100</v>
      </c>
      <c r="C12" s="49">
        <f>SUM(C6:C9)+C11</f>
        <v>400000</v>
      </c>
      <c r="D12" s="129">
        <f>C23/D9</f>
        <v>0</v>
      </c>
      <c r="E12" s="5">
        <f>C24/E9</f>
        <v>0</v>
      </c>
      <c r="F12" s="87"/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1">
        <f t="shared" si="1"/>
        <v>0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1">
        <f t="shared" si="3"/>
        <v>17423.68</v>
      </c>
    </row>
    <row r="13" spans="2:17" x14ac:dyDescent="0.2">
      <c r="B13" s="28" t="s">
        <v>20</v>
      </c>
      <c r="C13" s="49">
        <f>'Strategy comparison'!C8</f>
        <v>0</v>
      </c>
      <c r="D13" s="3" t="s">
        <v>53</v>
      </c>
      <c r="E13" s="3" t="s">
        <v>54</v>
      </c>
      <c r="F13" s="79"/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1">
        <f t="shared" si="1"/>
        <v>0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50320.899999999994</v>
      </c>
      <c r="Q13" s="11">
        <f t="shared" si="3"/>
        <v>50320.899999999994</v>
      </c>
    </row>
    <row r="14" spans="2:17" ht="16" thickBot="1" x14ac:dyDescent="0.25">
      <c r="B14" s="28" t="s">
        <v>102</v>
      </c>
      <c r="C14" s="49">
        <f>C13+C10</f>
        <v>0</v>
      </c>
      <c r="D14" s="5">
        <f>C23*0.05</f>
        <v>0</v>
      </c>
      <c r="E14" s="5">
        <f>C24*0.05</f>
        <v>0</v>
      </c>
      <c r="F14" s="87"/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4">
        <f>IF(K7&gt;=G14,(K7-G14)*I14,0)</f>
        <v>0</v>
      </c>
      <c r="L14" s="97"/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0</v>
      </c>
      <c r="Q14" s="14">
        <f>IF(Q7&gt;=M14,(Q7-M14)*O14,0)</f>
        <v>0</v>
      </c>
    </row>
    <row r="15" spans="2:17" ht="16" thickBot="1" x14ac:dyDescent="0.25">
      <c r="B15" s="28" t="s">
        <v>18</v>
      </c>
      <c r="C15" s="49">
        <f>C12+C14</f>
        <v>400000</v>
      </c>
      <c r="D15" s="452" t="s">
        <v>27</v>
      </c>
      <c r="E15" s="453"/>
      <c r="F15" s="127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8"/>
    </row>
    <row r="16" spans="2:17" ht="16" thickBot="1" x14ac:dyDescent="0.25">
      <c r="B16" s="28" t="s">
        <v>21</v>
      </c>
      <c r="C16" s="49">
        <f>IF(C5="Single",O17,IF(C5="Married-Joint",I17,"Filing Status?"))</f>
        <v>81195.419999999984</v>
      </c>
      <c r="D16" s="454">
        <f>'Strategy comparison'!C12</f>
        <v>0</v>
      </c>
      <c r="E16" s="455"/>
      <c r="F16" s="87"/>
      <c r="G16" s="96"/>
      <c r="H16" s="97"/>
      <c r="I16" s="422" t="s">
        <v>26</v>
      </c>
      <c r="J16" s="423"/>
      <c r="K16" s="104" t="s">
        <v>38</v>
      </c>
      <c r="L16" s="97"/>
      <c r="M16" s="97"/>
      <c r="N16" s="97"/>
      <c r="O16" s="422" t="s">
        <v>26</v>
      </c>
      <c r="P16" s="423"/>
      <c r="Q16" s="104" t="s">
        <v>38</v>
      </c>
    </row>
    <row r="17" spans="2:17" ht="16" thickBot="1" x14ac:dyDescent="0.25">
      <c r="B17" s="28" t="s">
        <v>22</v>
      </c>
      <c r="C17" s="52">
        <f>IF(C5="Single",O42,IF(C5="Married-Joint",I42,"Filing Status?"))</f>
        <v>12000</v>
      </c>
      <c r="D17" s="3" t="s">
        <v>55</v>
      </c>
      <c r="E17" s="3" t="s">
        <v>55</v>
      </c>
      <c r="F17" s="79"/>
      <c r="G17" s="101"/>
      <c r="H17" s="100"/>
      <c r="I17" s="106">
        <f>SUM(J8:J14)</f>
        <v>81195.419999999984</v>
      </c>
      <c r="J17" s="106">
        <f>SUM(K8:K14)</f>
        <v>81195.419999999984</v>
      </c>
      <c r="K17" s="107">
        <f>I17-J17</f>
        <v>0</v>
      </c>
      <c r="L17" s="100"/>
      <c r="M17" s="100"/>
      <c r="N17" s="100"/>
      <c r="O17" s="106">
        <f>SUM(P8:P14)</f>
        <v>108768</v>
      </c>
      <c r="P17" s="106">
        <f>SUM(Q8:Q14)</f>
        <v>108768</v>
      </c>
      <c r="Q17" s="107">
        <f>O17-P17</f>
        <v>0</v>
      </c>
    </row>
    <row r="18" spans="2:17" ht="16" thickBot="1" x14ac:dyDescent="0.25">
      <c r="B18" s="28" t="s">
        <v>23</v>
      </c>
      <c r="C18" s="52">
        <f>IF(C5="Single",O28,IF(C5="Married-Joint",I28,"Filing Status?"))</f>
        <v>0</v>
      </c>
      <c r="D18" s="5">
        <f>D12+D14</f>
        <v>0</v>
      </c>
      <c r="E18" s="5">
        <f>E12+E14+D16</f>
        <v>0</v>
      </c>
      <c r="F18" s="87"/>
      <c r="G18" s="6"/>
    </row>
    <row r="19" spans="2:17" x14ac:dyDescent="0.2">
      <c r="B19" s="28" t="s">
        <v>90</v>
      </c>
      <c r="C19" s="178">
        <f>J45</f>
        <v>5700</v>
      </c>
      <c r="D19" s="3" t="s">
        <v>58</v>
      </c>
      <c r="E19" s="3" t="s">
        <v>58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27" t="s">
        <v>24</v>
      </c>
      <c r="C20" s="50">
        <f>SUM(C16:C19)</f>
        <v>98895.419999999984</v>
      </c>
      <c r="D20" s="5">
        <f>D12*0.6</f>
        <v>0</v>
      </c>
      <c r="E20" s="5">
        <f>E12*0.5</f>
        <v>0</v>
      </c>
      <c r="G20" s="96"/>
      <c r="H20" s="100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26" t="s">
        <v>25</v>
      </c>
      <c r="C21" s="59">
        <f>C20/C15</f>
        <v>0.24723854999999995</v>
      </c>
      <c r="G21" s="419" t="s">
        <v>17</v>
      </c>
      <c r="H21" s="420"/>
      <c r="I21" s="421"/>
      <c r="J21" s="188" t="s">
        <v>108</v>
      </c>
      <c r="K21" s="189" t="s">
        <v>117</v>
      </c>
      <c r="L21" s="97"/>
      <c r="M21" s="419" t="s">
        <v>19</v>
      </c>
      <c r="N21" s="420"/>
      <c r="O21" s="421"/>
      <c r="P21" s="188" t="s">
        <v>108</v>
      </c>
      <c r="Q21" s="189" t="s">
        <v>117</v>
      </c>
    </row>
    <row r="22" spans="2:17" ht="16" thickBot="1" x14ac:dyDescent="0.25">
      <c r="B22" s="26"/>
      <c r="C22" s="55"/>
      <c r="D22" s="6"/>
      <c r="G22" s="30"/>
      <c r="H22" s="31"/>
      <c r="I22" s="32"/>
      <c r="J22" s="73">
        <f>C14</f>
        <v>0</v>
      </c>
      <c r="K22" s="69">
        <f>C27</f>
        <v>0</v>
      </c>
      <c r="L22" s="97"/>
      <c r="M22" s="30"/>
      <c r="N22" s="31"/>
      <c r="O22" s="32"/>
      <c r="P22" s="69">
        <f>J22</f>
        <v>0</v>
      </c>
      <c r="Q22" s="80">
        <f>K22</f>
        <v>0</v>
      </c>
    </row>
    <row r="23" spans="2:17" ht="16" thickBot="1" x14ac:dyDescent="0.25">
      <c r="B23" s="27" t="s">
        <v>56</v>
      </c>
      <c r="C23" s="52">
        <f>IF('DB comparison'!K5="",C7*D6,'DB comparison'!K5)</f>
        <v>0</v>
      </c>
      <c r="G23" s="36">
        <f>'Tax Tables'!B18</f>
        <v>0</v>
      </c>
      <c r="H23" s="43">
        <f>'Tax Tables'!C18</f>
        <v>98900</v>
      </c>
      <c r="I23" s="70">
        <f>'Tax Tables'!D18</f>
        <v>0</v>
      </c>
      <c r="J23" s="38">
        <f t="shared" ref="J23:K25" si="4">IF(J$22&gt;$H23,($H23-$G23)*$I23,MAX((J$22-$G23),0)*$I23)</f>
        <v>0</v>
      </c>
      <c r="K23" s="38">
        <f t="shared" si="4"/>
        <v>0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38">
        <f t="shared" ref="P23:Q25" si="5">IF(P$22&gt;$N23,($N23-$M23)*$O23,MAX((P$22-$M23),0)*$O23)</f>
        <v>0</v>
      </c>
      <c r="Q23" s="38">
        <f t="shared" si="5"/>
        <v>0</v>
      </c>
    </row>
    <row r="24" spans="2:17" ht="16" thickBot="1" x14ac:dyDescent="0.25">
      <c r="B24" s="27" t="s">
        <v>57</v>
      </c>
      <c r="C24" s="52">
        <f>IF('DB comparison'!K7="",C13*E6,'DB comparison'!K7)</f>
        <v>0</v>
      </c>
      <c r="G24" s="34">
        <f>'Tax Tables'!B19</f>
        <v>98901</v>
      </c>
      <c r="H24" s="44">
        <f>'Tax Tables'!C19</f>
        <v>613700</v>
      </c>
      <c r="I24" s="71">
        <f>'Tax Tables'!D19</f>
        <v>0.15</v>
      </c>
      <c r="J24" s="38">
        <f t="shared" si="4"/>
        <v>0</v>
      </c>
      <c r="K24" s="38">
        <f t="shared" si="4"/>
        <v>0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38">
        <f t="shared" si="5"/>
        <v>0</v>
      </c>
      <c r="Q24" s="38">
        <f t="shared" si="5"/>
        <v>0</v>
      </c>
    </row>
    <row r="25" spans="2:17" ht="16" thickBot="1" x14ac:dyDescent="0.25">
      <c r="B25" s="27" t="s">
        <v>112</v>
      </c>
      <c r="C25" s="52">
        <f>C12-C23</f>
        <v>400000</v>
      </c>
      <c r="G25" s="35">
        <f>'Tax Tables'!B20</f>
        <v>613701</v>
      </c>
      <c r="H25" s="45">
        <f>'Tax Tables'!C20</f>
        <v>99999999999</v>
      </c>
      <c r="I25" s="72">
        <f>'Tax Tables'!D20</f>
        <v>0.2</v>
      </c>
      <c r="J25" s="38">
        <f t="shared" si="4"/>
        <v>0</v>
      </c>
      <c r="K25" s="38">
        <f t="shared" si="4"/>
        <v>0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38">
        <f t="shared" si="5"/>
        <v>0</v>
      </c>
      <c r="Q25" s="38">
        <f t="shared" si="5"/>
        <v>0</v>
      </c>
    </row>
    <row r="26" spans="2:17" ht="16" thickBot="1" x14ac:dyDescent="0.25">
      <c r="B26" s="27" t="s">
        <v>59</v>
      </c>
      <c r="C26" s="52">
        <f>C13-C24</f>
        <v>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8"/>
    </row>
    <row r="27" spans="2:17" ht="16" thickBot="1" x14ac:dyDescent="0.25">
      <c r="B27" s="27" t="s">
        <v>104</v>
      </c>
      <c r="C27" s="52">
        <f>C26+C10</f>
        <v>0</v>
      </c>
      <c r="G27" s="96"/>
      <c r="H27" s="97"/>
      <c r="I27" s="422" t="s">
        <v>26</v>
      </c>
      <c r="J27" s="423"/>
      <c r="K27" s="109" t="s">
        <v>63</v>
      </c>
      <c r="L27" s="97"/>
      <c r="M27" s="97"/>
      <c r="N27" s="97"/>
      <c r="O27" s="422" t="s">
        <v>26</v>
      </c>
      <c r="P27" s="423"/>
      <c r="Q27" s="109" t="s">
        <v>63</v>
      </c>
    </row>
    <row r="28" spans="2:17" ht="16" thickBot="1" x14ac:dyDescent="0.25">
      <c r="B28" s="27" t="s">
        <v>150</v>
      </c>
      <c r="C28" s="52">
        <f>IF(C5="Single",P17,IF(C5="Married-Joint",J17,"Filing Status?"))</f>
        <v>81195.419999999984</v>
      </c>
      <c r="G28" s="101"/>
      <c r="H28" s="100"/>
      <c r="I28" s="122">
        <f>SUM(J23:J25)</f>
        <v>0</v>
      </c>
      <c r="J28" s="111">
        <f>SUM(K23:K25)</f>
        <v>0</v>
      </c>
      <c r="K28" s="123">
        <f>I28-J28</f>
        <v>0</v>
      </c>
      <c r="L28" s="100"/>
      <c r="M28" s="100"/>
      <c r="N28" s="100"/>
      <c r="O28" s="122">
        <f>SUM(P23:P25)</f>
        <v>0</v>
      </c>
      <c r="P28" s="111">
        <f>SUM(Q23:Q25)</f>
        <v>0</v>
      </c>
      <c r="Q28" s="124">
        <f>O28-P28</f>
        <v>0</v>
      </c>
    </row>
    <row r="29" spans="2:17" ht="16" thickBot="1" x14ac:dyDescent="0.25">
      <c r="B29" s="27" t="s">
        <v>42</v>
      </c>
      <c r="C29" s="56">
        <f>IF(C5="Single",P42,IF(C5="Married-Joint",J42,"Filing Status?"))</f>
        <v>12000</v>
      </c>
      <c r="L29" s="97"/>
    </row>
    <row r="30" spans="2:17" x14ac:dyDescent="0.2">
      <c r="B30" s="27" t="s">
        <v>61</v>
      </c>
      <c r="C30" s="56">
        <f>IF(C5="Single",P28,IF(C5="Married-Joint",J28,"Filing Status?"))</f>
        <v>0</v>
      </c>
      <c r="D30" s="6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 s="27" t="s">
        <v>90</v>
      </c>
      <c r="C31" s="177">
        <f>J45</f>
        <v>5700</v>
      </c>
      <c r="D31" s="6"/>
      <c r="E31" s="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8"/>
    </row>
    <row r="32" spans="2:17" ht="16" thickBot="1" x14ac:dyDescent="0.25">
      <c r="B32" s="27" t="s">
        <v>62</v>
      </c>
      <c r="C32" s="56"/>
      <c r="D32" s="6"/>
      <c r="G32" s="419" t="s">
        <v>17</v>
      </c>
      <c r="H32" s="420"/>
      <c r="I32" s="421"/>
      <c r="J32" s="7" t="s">
        <v>18</v>
      </c>
      <c r="K32" s="7" t="s">
        <v>66</v>
      </c>
      <c r="L32" s="97"/>
      <c r="M32" s="419" t="s">
        <v>19</v>
      </c>
      <c r="N32" s="420"/>
      <c r="O32" s="421"/>
      <c r="P32" s="7" t="s">
        <v>18</v>
      </c>
      <c r="Q32" s="7" t="s">
        <v>50</v>
      </c>
    </row>
    <row r="33" spans="2:17" ht="16" thickBot="1" x14ac:dyDescent="0.25">
      <c r="B33" s="27" t="s">
        <v>43</v>
      </c>
      <c r="C33" s="50">
        <f>SUM(C28:C32)</f>
        <v>98895.419999999984</v>
      </c>
      <c r="G33" s="9"/>
      <c r="J33" s="73">
        <f>C15</f>
        <v>400000</v>
      </c>
      <c r="K33" s="73">
        <f>J33-SUM(C7,C13)</f>
        <v>400000</v>
      </c>
      <c r="L33" s="97"/>
      <c r="M33" s="9"/>
      <c r="P33" s="20">
        <f>J33</f>
        <v>400000</v>
      </c>
      <c r="Q33" s="121">
        <f>K33</f>
        <v>400000</v>
      </c>
    </row>
    <row r="34" spans="2:17" x14ac:dyDescent="0.2">
      <c r="B34" s="26" t="s">
        <v>25</v>
      </c>
      <c r="C34" s="53">
        <f>C37/C15</f>
        <v>0.24723854999999995</v>
      </c>
      <c r="G34" s="60">
        <f>'Tax Tables'!B25</f>
        <v>0</v>
      </c>
      <c r="H34" s="65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38">
        <f>IF(IF(K$33&gt;H34,(H34-G34)*I34,(K$33-G34)*I34)&gt;0,IF(K$33&gt;H34,(H34-G34)*I34,(K$33-G34)*I34),0)</f>
        <v>12000</v>
      </c>
      <c r="L34" s="97"/>
      <c r="M34" s="60">
        <f>'Tax Tables'!F25</f>
        <v>0</v>
      </c>
      <c r="N34" s="65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12000</v>
      </c>
      <c r="Q34" s="38">
        <f>IF(IF(Q$33&gt;N34,(N34-M34)*O34,(Q$33-M34)*O34)&gt;0,IF(Q$33&gt;N34,(N34-M34)*O34,(Q$33-M34)*O34),0)</f>
        <v>12000</v>
      </c>
    </row>
    <row r="35" spans="2:17" x14ac:dyDescent="0.2">
      <c r="B35" s="27" t="s">
        <v>154</v>
      </c>
      <c r="C35" s="52">
        <f>'No planning'!C23</f>
        <v>98895.419999999984</v>
      </c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1">
        <f>IF(IF(Q$33&gt;N35,(N35-M35)*O35,(Q$33-M35)*O35)&gt;0,IF(Q$33&gt;N35,(N35-M35)*O35,(Q$33-M35)*O35),0)</f>
        <v>0</v>
      </c>
    </row>
    <row r="36" spans="2:17" ht="16" thickBot="1" x14ac:dyDescent="0.25">
      <c r="B36" s="47" t="s">
        <v>45</v>
      </c>
      <c r="C36" s="64">
        <f>D18+E18</f>
        <v>0</v>
      </c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1">
        <f>IF(IF(Q$33&gt;N36,(N36-M36)*O36,(Q$33-M36)*O36)&gt;0,IF(Q$33&gt;N36,(N36-M36)*O36,(Q$33-M36)*O36),0)</f>
        <v>0</v>
      </c>
    </row>
    <row r="37" spans="2:17" ht="16" thickBot="1" x14ac:dyDescent="0.25">
      <c r="B37" s="84" t="s">
        <v>11</v>
      </c>
      <c r="C37" s="126">
        <f>C36+C33+C39</f>
        <v>98895.419999999984</v>
      </c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1">
        <f>IF(IF(Q$33&gt;N37,(N37-M37)*O37,(Q$33-M37)*O37)&gt;0,IF(Q$33&gt;N37,(N37-M37)*O37,(Q$33-M37)*O37),0)</f>
        <v>0</v>
      </c>
    </row>
    <row r="38" spans="2:17" ht="16" thickBot="1" x14ac:dyDescent="0.25">
      <c r="B38" s="24" t="s">
        <v>64</v>
      </c>
      <c r="C38" s="54">
        <f>C35-C37</f>
        <v>0</v>
      </c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1">
        <f>IF(IF(Q$33&gt;N38,(N38-M38)*O38,(Q$33-M38)*O38)&gt;0,IF(Q$33&gt;N38,(N38-M38)*O38,(Q$33-M38)*O38),0)</f>
        <v>0</v>
      </c>
    </row>
    <row r="39" spans="2:17" ht="16" thickBot="1" x14ac:dyDescent="0.25">
      <c r="B39" s="24" t="s">
        <v>65</v>
      </c>
      <c r="C39" s="54">
        <f>SUM(D20:E20)</f>
        <v>0</v>
      </c>
      <c r="G39" s="15"/>
      <c r="H39" s="12"/>
      <c r="I39" s="41"/>
      <c r="J39" s="35"/>
      <c r="K39" s="14"/>
      <c r="L39" s="97"/>
      <c r="M39" s="15"/>
      <c r="N39" s="12"/>
      <c r="O39" s="22"/>
      <c r="P39" s="14"/>
      <c r="Q39" s="14"/>
    </row>
    <row r="40" spans="2:17" ht="16" thickBot="1" x14ac:dyDescent="0.25">
      <c r="B40" s="84" t="s">
        <v>120</v>
      </c>
      <c r="C40" s="126">
        <f>C38+C39</f>
        <v>0</v>
      </c>
      <c r="F40" s="4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8"/>
    </row>
    <row r="41" spans="2:17" ht="16" thickBot="1" x14ac:dyDescent="0.25">
      <c r="G41" s="96"/>
      <c r="H41" s="97"/>
      <c r="I41" s="422" t="s">
        <v>26</v>
      </c>
      <c r="J41" s="423"/>
      <c r="K41" s="125" t="s">
        <v>38</v>
      </c>
      <c r="L41" s="97"/>
      <c r="M41" s="97"/>
      <c r="N41" s="97"/>
      <c r="O41" s="422" t="s">
        <v>26</v>
      </c>
      <c r="P41" s="423"/>
      <c r="Q41" s="125" t="s">
        <v>38</v>
      </c>
    </row>
    <row r="42" spans="2:17" ht="16" thickBot="1" x14ac:dyDescent="0.25">
      <c r="D42" s="4"/>
      <c r="E42" s="4"/>
      <c r="G42" s="101"/>
      <c r="H42" s="100"/>
      <c r="I42" s="106">
        <f>SUM(J34:J39)</f>
        <v>12000</v>
      </c>
      <c r="J42" s="106">
        <f>SUM(K34:K39)</f>
        <v>12000</v>
      </c>
      <c r="K42" s="107">
        <f>I42-J42</f>
        <v>0</v>
      </c>
      <c r="L42" s="100"/>
      <c r="M42" s="100"/>
      <c r="N42" s="100"/>
      <c r="O42" s="106">
        <f>SUM(P34:P39)</f>
        <v>12000</v>
      </c>
      <c r="P42" s="106">
        <f>SUM(Q34:Q39)</f>
        <v>12000</v>
      </c>
      <c r="Q42" s="107">
        <f>O42-P42</f>
        <v>0</v>
      </c>
    </row>
    <row r="43" spans="2:17" ht="16" thickBot="1" x14ac:dyDescent="0.25"/>
    <row r="44" spans="2:17" x14ac:dyDescent="0.2">
      <c r="I44" s="181" t="s">
        <v>90</v>
      </c>
      <c r="J44" s="175">
        <f>'Tax Tables'!$C$34</f>
        <v>3.7999999999999999E-2</v>
      </c>
    </row>
    <row r="45" spans="2:17" ht="16" thickBot="1" x14ac:dyDescent="0.25">
      <c r="I45" s="174">
        <f>SUM(C8:C11)</f>
        <v>0</v>
      </c>
      <c r="J45" s="336">
        <f>IF(C15-C23-C24-IF(C5="Married-Joint",250000,200000)&gt;I45,(C15-C23-C24-IF(C5="Married-Joint",250000,200000))*J44, I45*J44)</f>
        <v>5700</v>
      </c>
    </row>
    <row r="46" spans="2:17" x14ac:dyDescent="0.2">
      <c r="F46" s="1"/>
    </row>
    <row r="47" spans="2:17" x14ac:dyDescent="0.2">
      <c r="F47" s="23"/>
    </row>
    <row r="48" spans="2:17" x14ac:dyDescent="0.2">
      <c r="D48" s="18"/>
      <c r="E48" s="1"/>
    </row>
    <row r="49" spans="2:5" x14ac:dyDescent="0.2">
      <c r="D49" s="4"/>
      <c r="E49" s="23"/>
    </row>
    <row r="56" spans="2:5" x14ac:dyDescent="0.2">
      <c r="C56" s="18"/>
    </row>
    <row r="57" spans="2:5" x14ac:dyDescent="0.2">
      <c r="B57" s="4"/>
      <c r="C57" s="4"/>
    </row>
  </sheetData>
  <mergeCells count="18">
    <mergeCell ref="D16:E16"/>
    <mergeCell ref="I16:J16"/>
    <mergeCell ref="O16:P16"/>
    <mergeCell ref="B1:E1"/>
    <mergeCell ref="G4:Q4"/>
    <mergeCell ref="G6:I6"/>
    <mergeCell ref="M6:O6"/>
    <mergeCell ref="D15:E15"/>
    <mergeCell ref="G32:I32"/>
    <mergeCell ref="M32:O32"/>
    <mergeCell ref="I41:J41"/>
    <mergeCell ref="O41:P41"/>
    <mergeCell ref="G19:Q19"/>
    <mergeCell ref="G21:I21"/>
    <mergeCell ref="M21:O21"/>
    <mergeCell ref="I27:J27"/>
    <mergeCell ref="O27:P27"/>
    <mergeCell ref="G30:Q30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0724-E3AC-AA46-A50B-753A3B4FADED}">
  <dimension ref="B1:Q57"/>
  <sheetViews>
    <sheetView zoomScaleNormal="100" workbookViewId="0">
      <selection activeCell="C25" sqref="C25"/>
    </sheetView>
  </sheetViews>
  <sheetFormatPr baseColWidth="10" defaultColWidth="8.83203125" defaultRowHeight="15" x14ac:dyDescent="0.2"/>
  <cols>
    <col min="2" max="2" width="28.33203125" bestFit="1" customWidth="1"/>
    <col min="3" max="3" width="19.83203125" customWidth="1"/>
    <col min="4" max="5" width="19.6640625" bestFit="1" customWidth="1"/>
    <col min="6" max="6" width="19.5" customWidth="1"/>
    <col min="7" max="7" width="12.6640625" bestFit="1" customWidth="1"/>
    <col min="8" max="8" width="18.83203125" bestFit="1" customWidth="1"/>
    <col min="9" max="9" width="14.1640625" bestFit="1" customWidth="1"/>
    <col min="10" max="10" width="19.1640625" customWidth="1"/>
    <col min="11" max="11" width="17.33203125" bestFit="1" customWidth="1"/>
    <col min="12" max="12" width="14.33203125" bestFit="1" customWidth="1"/>
    <col min="13" max="13" width="12.6640625" bestFit="1" customWidth="1"/>
    <col min="14" max="14" width="18.83203125" bestFit="1" customWidth="1"/>
    <col min="15" max="15" width="12.6640625" bestFit="1" customWidth="1"/>
    <col min="16" max="16" width="13.5" bestFit="1" customWidth="1"/>
    <col min="17" max="17" width="13.5" customWidth="1"/>
    <col min="18" max="18" width="12.5" bestFit="1" customWidth="1"/>
    <col min="21" max="22" width="13" bestFit="1" customWidth="1"/>
    <col min="24" max="25" width="14.6640625" bestFit="1" customWidth="1"/>
  </cols>
  <sheetData>
    <row r="1" spans="2:17" ht="27" thickBot="1" x14ac:dyDescent="0.35">
      <c r="B1" s="456" t="s">
        <v>47</v>
      </c>
      <c r="C1" s="457"/>
      <c r="D1" s="457"/>
      <c r="E1" s="458"/>
    </row>
    <row r="3" spans="2:17" ht="16" thickBot="1" x14ac:dyDescent="0.25"/>
    <row r="4" spans="2:17" ht="16" thickBot="1" x14ac:dyDescent="0.25">
      <c r="B4" s="48"/>
      <c r="C4" s="25"/>
      <c r="D4" s="57" t="s">
        <v>3</v>
      </c>
      <c r="E4" s="57" t="s">
        <v>3</v>
      </c>
      <c r="F4" s="78"/>
      <c r="G4" s="432" t="s">
        <v>106</v>
      </c>
      <c r="H4" s="433"/>
      <c r="I4" s="433"/>
      <c r="J4" s="433"/>
      <c r="K4" s="433"/>
      <c r="L4" s="433"/>
      <c r="M4" s="433"/>
      <c r="N4" s="433"/>
      <c r="O4" s="433"/>
      <c r="P4" s="433"/>
      <c r="Q4" s="434"/>
    </row>
    <row r="5" spans="2:17" ht="16" thickBot="1" x14ac:dyDescent="0.25">
      <c r="B5" s="27" t="s">
        <v>13</v>
      </c>
      <c r="C5" s="76" t="str">
        <f>'Strategy comparison'!C4</f>
        <v>Married-Joint</v>
      </c>
      <c r="D5" s="58" t="s">
        <v>0</v>
      </c>
      <c r="E5" s="58" t="s">
        <v>5</v>
      </c>
      <c r="F5" s="85"/>
      <c r="G5" s="96"/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2:17" ht="16" thickBot="1" x14ac:dyDescent="0.25">
      <c r="B6" s="28" t="s">
        <v>14</v>
      </c>
      <c r="C6" s="49">
        <f>'Strategy comparison'!C5+'Roth comparison'!C2</f>
        <v>850000</v>
      </c>
      <c r="D6" s="42">
        <v>1</v>
      </c>
      <c r="E6" s="42">
        <v>1</v>
      </c>
      <c r="F6" s="71"/>
      <c r="G6" s="419" t="s">
        <v>17</v>
      </c>
      <c r="H6" s="420"/>
      <c r="I6" s="421"/>
      <c r="J6" s="7" t="s">
        <v>121</v>
      </c>
      <c r="K6" s="7" t="s">
        <v>122</v>
      </c>
      <c r="L6" s="97"/>
      <c r="M6" s="419" t="s">
        <v>19</v>
      </c>
      <c r="N6" s="420"/>
      <c r="O6" s="421"/>
      <c r="P6" s="7" t="s">
        <v>121</v>
      </c>
      <c r="Q6" s="7" t="s">
        <v>122</v>
      </c>
    </row>
    <row r="7" spans="2:17" ht="16" thickBot="1" x14ac:dyDescent="0.25">
      <c r="B7" s="28" t="s">
        <v>15</v>
      </c>
      <c r="C7" s="49">
        <f>'Strategy comparison'!C6</f>
        <v>0</v>
      </c>
      <c r="D7" s="61" t="s">
        <v>48</v>
      </c>
      <c r="E7" s="61" t="s">
        <v>48</v>
      </c>
      <c r="F7" s="86"/>
      <c r="G7" s="30"/>
      <c r="H7" s="31"/>
      <c r="I7" s="32"/>
      <c r="J7" s="69">
        <f>C12</f>
        <v>850000</v>
      </c>
      <c r="K7" s="69">
        <f>C12-C23</f>
        <v>850000</v>
      </c>
      <c r="L7" s="97"/>
      <c r="M7" s="30"/>
      <c r="N7" s="31"/>
      <c r="O7" s="32"/>
      <c r="P7" s="39">
        <f>J7</f>
        <v>850000</v>
      </c>
      <c r="Q7" s="33">
        <f>K7</f>
        <v>850000</v>
      </c>
    </row>
    <row r="8" spans="2:17" ht="16" thickBot="1" x14ac:dyDescent="0.25">
      <c r="B8" s="28" t="s">
        <v>49</v>
      </c>
      <c r="C8" s="49">
        <f>'Strategy comparison'!C7</f>
        <v>0</v>
      </c>
      <c r="D8" s="62" t="s">
        <v>30</v>
      </c>
      <c r="E8" s="62" t="s">
        <v>30</v>
      </c>
      <c r="F8" s="86"/>
      <c r="G8" s="36">
        <f>'Tax Tables'!B6</f>
        <v>0</v>
      </c>
      <c r="H8" s="43">
        <f>'Tax Tables'!C6</f>
        <v>24800</v>
      </c>
      <c r="I8" s="37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97"/>
      <c r="M8" s="34">
        <f>'Tax Tables'!F6</f>
        <v>0</v>
      </c>
      <c r="N8" s="44">
        <f>'Tax Tables'!G6</f>
        <v>12400</v>
      </c>
      <c r="O8" s="10">
        <f>'Tax Tables'!H6</f>
        <v>0.1</v>
      </c>
      <c r="P8" s="38">
        <f t="shared" ref="P8:P13" si="2">IF(IF(P$7&gt;N8,(N8-M8)*O8,(P$7-M8)*O8)&gt;0,IF(P$7&gt;N8,(N8-M8)*O8,(P$7-M8)*O8),0)</f>
        <v>1240</v>
      </c>
      <c r="Q8" s="38">
        <f t="shared" ref="Q8:Q13" si="3">IF(IF(Q$7&gt;N8,(N8-M8)*O8,(Q$7-M8)*O8)&gt;0,IF(Q$7&gt;N8,(N8-M8)*O8,(Q$7-M8)*O8),0)</f>
        <v>1240</v>
      </c>
    </row>
    <row r="9" spans="2:17" ht="16" thickBot="1" x14ac:dyDescent="0.25">
      <c r="B9" s="27" t="s">
        <v>96</v>
      </c>
      <c r="C9" s="49">
        <f>'Strategy comparison'!C9</f>
        <v>0</v>
      </c>
      <c r="D9" s="63">
        <v>8</v>
      </c>
      <c r="E9" s="63">
        <v>10</v>
      </c>
      <c r="F9" s="1"/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97"/>
      <c r="M9" s="34">
        <f>'Tax Tables'!F7</f>
        <v>12401</v>
      </c>
      <c r="N9" s="44">
        <f>'Tax Tables'!G7</f>
        <v>50400</v>
      </c>
      <c r="O9" s="10">
        <f>'Tax Tables'!H7</f>
        <v>0.12</v>
      </c>
      <c r="P9" s="11">
        <f t="shared" si="2"/>
        <v>4559.88</v>
      </c>
      <c r="Q9" s="11">
        <f t="shared" si="3"/>
        <v>4559.88</v>
      </c>
    </row>
    <row r="10" spans="2:17" x14ac:dyDescent="0.2">
      <c r="B10" s="27" t="s">
        <v>98</v>
      </c>
      <c r="C10" s="49">
        <f>'Strategy comparison'!C10</f>
        <v>0</v>
      </c>
      <c r="D10" s="2" t="s">
        <v>51</v>
      </c>
      <c r="E10" s="2" t="s">
        <v>51</v>
      </c>
      <c r="F10" s="79"/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97"/>
      <c r="M10" s="34">
        <f>'Tax Tables'!F8</f>
        <v>50401</v>
      </c>
      <c r="N10" s="44">
        <f>'Tax Tables'!G8</f>
        <v>105700</v>
      </c>
      <c r="O10" s="10">
        <f>'Tax Tables'!H8</f>
        <v>0.22</v>
      </c>
      <c r="P10" s="11">
        <f t="shared" si="2"/>
        <v>12165.78</v>
      </c>
      <c r="Q10" s="11">
        <f t="shared" si="3"/>
        <v>12165.78</v>
      </c>
    </row>
    <row r="11" spans="2:17" x14ac:dyDescent="0.2">
      <c r="B11" s="27" t="s">
        <v>97</v>
      </c>
      <c r="C11" s="49">
        <f>'Strategy comparison'!C11</f>
        <v>0</v>
      </c>
      <c r="D11" s="3" t="s">
        <v>52</v>
      </c>
      <c r="E11" s="3" t="s">
        <v>52</v>
      </c>
      <c r="F11" s="79"/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46115.759999999995</v>
      </c>
      <c r="K11" s="11">
        <f t="shared" si="1"/>
        <v>46115.759999999995</v>
      </c>
      <c r="L11" s="97"/>
      <c r="M11" s="34">
        <f>'Tax Tables'!F9</f>
        <v>105701</v>
      </c>
      <c r="N11" s="44">
        <f>'Tax Tables'!G9</f>
        <v>201775</v>
      </c>
      <c r="O11" s="10">
        <f>'Tax Tables'!H9</f>
        <v>0.24</v>
      </c>
      <c r="P11" s="11">
        <f t="shared" si="2"/>
        <v>23057.759999999998</v>
      </c>
      <c r="Q11" s="11">
        <f t="shared" si="3"/>
        <v>23057.759999999998</v>
      </c>
    </row>
    <row r="12" spans="2:17" ht="16" thickBot="1" x14ac:dyDescent="0.25">
      <c r="B12" s="28" t="s">
        <v>100</v>
      </c>
      <c r="C12" s="49">
        <f>SUM(C6:C9)+C11</f>
        <v>850000</v>
      </c>
      <c r="D12" s="129">
        <f>C23/D9</f>
        <v>0</v>
      </c>
      <c r="E12" s="5">
        <f>C24/E9</f>
        <v>0</v>
      </c>
      <c r="F12" s="87"/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34847.68</v>
      </c>
      <c r="K12" s="11">
        <f t="shared" si="1"/>
        <v>34847.68</v>
      </c>
      <c r="L12" s="97"/>
      <c r="M12" s="34">
        <f>'Tax Tables'!F10</f>
        <v>201776</v>
      </c>
      <c r="N12" s="44">
        <f>'Tax Tables'!G10</f>
        <v>256225</v>
      </c>
      <c r="O12" s="10">
        <f>'Tax Tables'!H10</f>
        <v>0.32</v>
      </c>
      <c r="P12" s="11">
        <f t="shared" si="2"/>
        <v>17423.68</v>
      </c>
      <c r="Q12" s="11">
        <f t="shared" si="3"/>
        <v>17423.68</v>
      </c>
    </row>
    <row r="13" spans="2:17" x14ac:dyDescent="0.2">
      <c r="B13" s="28" t="s">
        <v>20</v>
      </c>
      <c r="C13" s="49">
        <f>'Strategy comparison'!C8</f>
        <v>0</v>
      </c>
      <c r="D13" s="3" t="s">
        <v>53</v>
      </c>
      <c r="E13" s="3" t="s">
        <v>54</v>
      </c>
      <c r="F13" s="79"/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89687.15</v>
      </c>
      <c r="K13" s="11">
        <f t="shared" si="1"/>
        <v>89687.15</v>
      </c>
      <c r="L13" s="97"/>
      <c r="M13" s="34">
        <f>'Tax Tables'!F11</f>
        <v>256226</v>
      </c>
      <c r="N13" s="44">
        <f>'Tax Tables'!G11</f>
        <v>640600</v>
      </c>
      <c r="O13" s="10">
        <f>'Tax Tables'!H11</f>
        <v>0.35</v>
      </c>
      <c r="P13" s="11">
        <f t="shared" si="2"/>
        <v>134530.9</v>
      </c>
      <c r="Q13" s="11">
        <f t="shared" si="3"/>
        <v>134530.9</v>
      </c>
    </row>
    <row r="14" spans="2:17" ht="16" thickBot="1" x14ac:dyDescent="0.25">
      <c r="B14" s="28" t="s">
        <v>102</v>
      </c>
      <c r="C14" s="49">
        <f>C13+C10</f>
        <v>0</v>
      </c>
      <c r="D14" s="5">
        <f>C23*0.05</f>
        <v>0</v>
      </c>
      <c r="E14" s="5">
        <f>C24*0.05</f>
        <v>0</v>
      </c>
      <c r="F14" s="87"/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30080.63</v>
      </c>
      <c r="K14" s="14">
        <f>IF(K7&gt;=G14,(K7-G14)*I14,0)</f>
        <v>30080.63</v>
      </c>
      <c r="L14" s="97"/>
      <c r="M14" s="35">
        <f>'Tax Tables'!F12</f>
        <v>640601</v>
      </c>
      <c r="N14" s="45">
        <f>'Tax Tables'!G12</f>
        <v>99999999999</v>
      </c>
      <c r="O14" s="13">
        <f>'Tax Tables'!H12</f>
        <v>0.37</v>
      </c>
      <c r="P14" s="14">
        <f>IF(P7&gt;=M14,(P7-M14)*O14,0)</f>
        <v>77477.63</v>
      </c>
      <c r="Q14" s="14">
        <f>IF(Q7&gt;=M14,(Q7-M14)*O14,0)</f>
        <v>77477.63</v>
      </c>
    </row>
    <row r="15" spans="2:17" ht="16" thickBot="1" x14ac:dyDescent="0.25">
      <c r="B15" s="28" t="s">
        <v>18</v>
      </c>
      <c r="C15" s="49">
        <f>C12+C14</f>
        <v>850000</v>
      </c>
      <c r="D15" s="452" t="s">
        <v>27</v>
      </c>
      <c r="E15" s="453"/>
      <c r="F15" s="127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8"/>
    </row>
    <row r="16" spans="2:17" ht="16" thickBot="1" x14ac:dyDescent="0.25">
      <c r="B16" s="28" t="s">
        <v>21</v>
      </c>
      <c r="C16" s="49">
        <f>IF(C5="Single",O17,IF(C5="Married-Joint",I17,"Filing Status?"))</f>
        <v>236662.87999999998</v>
      </c>
      <c r="D16" s="454">
        <f>'Strategy comparison'!C12</f>
        <v>0</v>
      </c>
      <c r="E16" s="455"/>
      <c r="F16" s="87"/>
      <c r="G16" s="96"/>
      <c r="H16" s="97"/>
      <c r="I16" s="422" t="s">
        <v>26</v>
      </c>
      <c r="J16" s="423"/>
      <c r="K16" s="104" t="s">
        <v>38</v>
      </c>
      <c r="L16" s="97"/>
      <c r="M16" s="97"/>
      <c r="N16" s="97"/>
      <c r="O16" s="422" t="s">
        <v>26</v>
      </c>
      <c r="P16" s="423"/>
      <c r="Q16" s="104" t="s">
        <v>38</v>
      </c>
    </row>
    <row r="17" spans="2:17" ht="16" thickBot="1" x14ac:dyDescent="0.25">
      <c r="B17" s="28" t="s">
        <v>22</v>
      </c>
      <c r="C17" s="52">
        <f>IF(C5="Single",O42,IF(C5="Married-Joint",I42,"Filing Status?"))</f>
        <v>25500</v>
      </c>
      <c r="D17" s="3" t="s">
        <v>55</v>
      </c>
      <c r="E17" s="3" t="s">
        <v>55</v>
      </c>
      <c r="F17" s="79"/>
      <c r="G17" s="101"/>
      <c r="H17" s="100"/>
      <c r="I17" s="106">
        <f>SUM(J8:J14)</f>
        <v>236662.87999999998</v>
      </c>
      <c r="J17" s="106">
        <f>SUM(K8:K14)</f>
        <v>236662.87999999998</v>
      </c>
      <c r="K17" s="107">
        <f>I17-J17</f>
        <v>0</v>
      </c>
      <c r="L17" s="100"/>
      <c r="M17" s="100"/>
      <c r="N17" s="100"/>
      <c r="O17" s="106">
        <f>SUM(P8:P14)</f>
        <v>270455.63</v>
      </c>
      <c r="P17" s="106">
        <f>SUM(Q8:Q14)</f>
        <v>270455.63</v>
      </c>
      <c r="Q17" s="107">
        <f>O17-P17</f>
        <v>0</v>
      </c>
    </row>
    <row r="18" spans="2:17" ht="16" thickBot="1" x14ac:dyDescent="0.25">
      <c r="B18" s="28" t="s">
        <v>23</v>
      </c>
      <c r="C18" s="52">
        <f>IF(C5="Single",O28,IF(C5="Married-Joint",I28,"Filing Status?"))</f>
        <v>0</v>
      </c>
      <c r="D18" s="5">
        <f>D12+D14</f>
        <v>0</v>
      </c>
      <c r="E18" s="5">
        <f>E12+E14+D16</f>
        <v>0</v>
      </c>
      <c r="F18" s="87"/>
      <c r="G18" s="6"/>
    </row>
    <row r="19" spans="2:17" x14ac:dyDescent="0.2">
      <c r="B19" s="28" t="s">
        <v>90</v>
      </c>
      <c r="C19" s="178">
        <f>J45</f>
        <v>22800</v>
      </c>
      <c r="D19" s="3" t="s">
        <v>58</v>
      </c>
      <c r="E19" s="3" t="s">
        <v>58</v>
      </c>
      <c r="G19" s="426" t="s">
        <v>105</v>
      </c>
      <c r="H19" s="427"/>
      <c r="I19" s="427"/>
      <c r="J19" s="427"/>
      <c r="K19" s="427"/>
      <c r="L19" s="427"/>
      <c r="M19" s="427"/>
      <c r="N19" s="427"/>
      <c r="O19" s="427"/>
      <c r="P19" s="427"/>
      <c r="Q19" s="428"/>
    </row>
    <row r="20" spans="2:17" ht="16" thickBot="1" x14ac:dyDescent="0.25">
      <c r="B20" s="27" t="s">
        <v>24</v>
      </c>
      <c r="C20" s="50">
        <f>SUM(C16:C19)</f>
        <v>284962.88</v>
      </c>
      <c r="D20" s="5">
        <f>D12*0.6</f>
        <v>0</v>
      </c>
      <c r="E20" s="5">
        <f>E12*0.5</f>
        <v>0</v>
      </c>
      <c r="G20" s="96"/>
      <c r="H20" s="100"/>
      <c r="I20" s="97"/>
      <c r="J20" s="97"/>
      <c r="K20" s="97"/>
      <c r="L20" s="97"/>
      <c r="M20" s="97"/>
      <c r="N20" s="97"/>
      <c r="O20" s="97"/>
      <c r="P20" s="97"/>
      <c r="Q20" s="98"/>
    </row>
    <row r="21" spans="2:17" ht="16" thickBot="1" x14ac:dyDescent="0.25">
      <c r="B21" s="26" t="s">
        <v>25</v>
      </c>
      <c r="C21" s="59">
        <f>C20/C15</f>
        <v>0.33525044705882351</v>
      </c>
      <c r="G21" s="419" t="s">
        <v>17</v>
      </c>
      <c r="H21" s="420"/>
      <c r="I21" s="421"/>
      <c r="J21" s="188" t="s">
        <v>108</v>
      </c>
      <c r="K21" s="189" t="s">
        <v>117</v>
      </c>
      <c r="L21" s="97"/>
      <c r="M21" s="419" t="s">
        <v>19</v>
      </c>
      <c r="N21" s="420"/>
      <c r="O21" s="421"/>
      <c r="P21" s="188" t="s">
        <v>108</v>
      </c>
      <c r="Q21" s="189" t="s">
        <v>117</v>
      </c>
    </row>
    <row r="22" spans="2:17" ht="16" thickBot="1" x14ac:dyDescent="0.25">
      <c r="B22" s="26"/>
      <c r="C22" s="55"/>
      <c r="D22" s="6"/>
      <c r="G22" s="30"/>
      <c r="H22" s="31"/>
      <c r="I22" s="32"/>
      <c r="J22" s="73">
        <f>C14</f>
        <v>0</v>
      </c>
      <c r="K22" s="69">
        <f>C27</f>
        <v>0</v>
      </c>
      <c r="L22" s="97"/>
      <c r="M22" s="30"/>
      <c r="N22" s="31"/>
      <c r="O22" s="32"/>
      <c r="P22" s="69">
        <f>J22</f>
        <v>0</v>
      </c>
      <c r="Q22" s="80">
        <f>K22</f>
        <v>0</v>
      </c>
    </row>
    <row r="23" spans="2:17" ht="16" thickBot="1" x14ac:dyDescent="0.25">
      <c r="B23" s="27" t="s">
        <v>56</v>
      </c>
      <c r="C23" s="52">
        <f>IF('Roth comparison'!K5="",C7*D6,'Roth comparison'!K5)</f>
        <v>0</v>
      </c>
      <c r="G23" s="36">
        <f>'Tax Tables'!B18</f>
        <v>0</v>
      </c>
      <c r="H23" s="43">
        <f>'Tax Tables'!C18</f>
        <v>98900</v>
      </c>
      <c r="I23" s="70">
        <f>'Tax Tables'!D18</f>
        <v>0</v>
      </c>
      <c r="J23" s="38">
        <f t="shared" ref="J23:K25" si="4">IF(J$22&gt;$H23,($H23-$G23)*$I23,MAX((J$22-$G23),0)*$I23)</f>
        <v>0</v>
      </c>
      <c r="K23" s="38">
        <f t="shared" si="4"/>
        <v>0</v>
      </c>
      <c r="L23" s="97"/>
      <c r="M23" s="34">
        <f>'Tax Tables'!F18</f>
        <v>0</v>
      </c>
      <c r="N23" s="44">
        <f>'Tax Tables'!G18</f>
        <v>49450</v>
      </c>
      <c r="O23" s="10">
        <f>'Tax Tables'!H18</f>
        <v>0</v>
      </c>
      <c r="P23" s="38">
        <f t="shared" ref="P23:Q25" si="5">IF(P$22&gt;$N23,($N23-$M23)*$O23,MAX((P$22-$M23),0)*$O23)</f>
        <v>0</v>
      </c>
      <c r="Q23" s="38">
        <f t="shared" si="5"/>
        <v>0</v>
      </c>
    </row>
    <row r="24" spans="2:17" ht="16" thickBot="1" x14ac:dyDescent="0.25">
      <c r="B24" s="27" t="s">
        <v>57</v>
      </c>
      <c r="C24" s="52">
        <f>IF('Roth comparison'!K7="",C13*E6,'Roth comparison'!K7)</f>
        <v>0</v>
      </c>
      <c r="G24" s="34">
        <f>'Tax Tables'!B19</f>
        <v>98901</v>
      </c>
      <c r="H24" s="44">
        <f>'Tax Tables'!C19</f>
        <v>613700</v>
      </c>
      <c r="I24" s="71">
        <f>'Tax Tables'!D19</f>
        <v>0.15</v>
      </c>
      <c r="J24" s="38">
        <f t="shared" si="4"/>
        <v>0</v>
      </c>
      <c r="K24" s="38">
        <f t="shared" si="4"/>
        <v>0</v>
      </c>
      <c r="L24" s="97"/>
      <c r="M24" s="34">
        <f>'Tax Tables'!F19</f>
        <v>49451</v>
      </c>
      <c r="N24" s="44">
        <f>'Tax Tables'!G19</f>
        <v>545500</v>
      </c>
      <c r="O24" s="10">
        <f>'Tax Tables'!H19</f>
        <v>0.15</v>
      </c>
      <c r="P24" s="38">
        <f t="shared" si="5"/>
        <v>0</v>
      </c>
      <c r="Q24" s="38">
        <f t="shared" si="5"/>
        <v>0</v>
      </c>
    </row>
    <row r="25" spans="2:17" ht="16" thickBot="1" x14ac:dyDescent="0.25">
      <c r="B25" s="27" t="s">
        <v>112</v>
      </c>
      <c r="C25" s="52">
        <f>C12-C23</f>
        <v>850000</v>
      </c>
      <c r="G25" s="35">
        <f>'Tax Tables'!B20</f>
        <v>613701</v>
      </c>
      <c r="H25" s="45">
        <f>'Tax Tables'!C20</f>
        <v>99999999999</v>
      </c>
      <c r="I25" s="72">
        <f>'Tax Tables'!D20</f>
        <v>0.2</v>
      </c>
      <c r="J25" s="38">
        <f t="shared" si="4"/>
        <v>0</v>
      </c>
      <c r="K25" s="38">
        <f t="shared" si="4"/>
        <v>0</v>
      </c>
      <c r="L25" s="97"/>
      <c r="M25" s="35">
        <f>'Tax Tables'!F20</f>
        <v>545501</v>
      </c>
      <c r="N25" s="45">
        <f>'Tax Tables'!G20</f>
        <v>99999999999</v>
      </c>
      <c r="O25" s="13">
        <f>'Tax Tables'!H20</f>
        <v>0.2</v>
      </c>
      <c r="P25" s="38">
        <f t="shared" si="5"/>
        <v>0</v>
      </c>
      <c r="Q25" s="38">
        <f t="shared" si="5"/>
        <v>0</v>
      </c>
    </row>
    <row r="26" spans="2:17" ht="16" thickBot="1" x14ac:dyDescent="0.25">
      <c r="B26" s="27" t="s">
        <v>59</v>
      </c>
      <c r="C26" s="52">
        <f>C13-C24</f>
        <v>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8"/>
    </row>
    <row r="27" spans="2:17" ht="16" thickBot="1" x14ac:dyDescent="0.25">
      <c r="B27" s="27" t="s">
        <v>104</v>
      </c>
      <c r="C27" s="52">
        <f>C26+C10</f>
        <v>0</v>
      </c>
      <c r="G27" s="96"/>
      <c r="H27" s="97"/>
      <c r="I27" s="422" t="s">
        <v>26</v>
      </c>
      <c r="J27" s="423"/>
      <c r="K27" s="109" t="s">
        <v>63</v>
      </c>
      <c r="L27" s="97"/>
      <c r="M27" s="97"/>
      <c r="N27" s="97"/>
      <c r="O27" s="422" t="s">
        <v>26</v>
      </c>
      <c r="P27" s="423"/>
      <c r="Q27" s="109" t="s">
        <v>63</v>
      </c>
    </row>
    <row r="28" spans="2:17" ht="16" thickBot="1" x14ac:dyDescent="0.25">
      <c r="B28" s="27" t="s">
        <v>150</v>
      </c>
      <c r="C28" s="52">
        <f>IF(C5="Single",P17,IF(C5="Married-Joint",J17,"Filing Status?"))</f>
        <v>236662.87999999998</v>
      </c>
      <c r="G28" s="101"/>
      <c r="H28" s="100"/>
      <c r="I28" s="122">
        <f>SUM(J23:J25)</f>
        <v>0</v>
      </c>
      <c r="J28" s="111">
        <f>SUM(K23:K25)</f>
        <v>0</v>
      </c>
      <c r="K28" s="123">
        <f>I28-J28</f>
        <v>0</v>
      </c>
      <c r="L28" s="100"/>
      <c r="M28" s="100"/>
      <c r="N28" s="100"/>
      <c r="O28" s="122">
        <f>SUM(P23:P25)</f>
        <v>0</v>
      </c>
      <c r="P28" s="111">
        <f>SUM(Q23:Q25)</f>
        <v>0</v>
      </c>
      <c r="Q28" s="124">
        <f>O28-P28</f>
        <v>0</v>
      </c>
    </row>
    <row r="29" spans="2:17" ht="16" thickBot="1" x14ac:dyDescent="0.25">
      <c r="B29" s="27" t="s">
        <v>42</v>
      </c>
      <c r="C29" s="56">
        <f>IF(C5="Single",P42,IF(C5="Married-Joint",J42,"Filing Status?"))</f>
        <v>25500</v>
      </c>
      <c r="L29" s="97"/>
    </row>
    <row r="30" spans="2:17" x14ac:dyDescent="0.2">
      <c r="B30" s="27" t="s">
        <v>61</v>
      </c>
      <c r="C30" s="56">
        <f>IF(C5="Single",P28,IF(C5="Married-Joint",J28,"Filing Status?"))</f>
        <v>0</v>
      </c>
      <c r="D30" s="6"/>
      <c r="G30" s="429" t="s">
        <v>107</v>
      </c>
      <c r="H30" s="430"/>
      <c r="I30" s="430"/>
      <c r="J30" s="430"/>
      <c r="K30" s="430"/>
      <c r="L30" s="430"/>
      <c r="M30" s="430"/>
      <c r="N30" s="430"/>
      <c r="O30" s="430"/>
      <c r="P30" s="430"/>
      <c r="Q30" s="431"/>
    </row>
    <row r="31" spans="2:17" ht="16" thickBot="1" x14ac:dyDescent="0.25">
      <c r="B31" s="27" t="s">
        <v>90</v>
      </c>
      <c r="C31" s="177">
        <f>J45</f>
        <v>22800</v>
      </c>
      <c r="D31" s="6"/>
      <c r="E31" s="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8"/>
    </row>
    <row r="32" spans="2:17" ht="16" thickBot="1" x14ac:dyDescent="0.25">
      <c r="B32" s="27" t="s">
        <v>62</v>
      </c>
      <c r="C32" s="56"/>
      <c r="D32" s="6"/>
      <c r="G32" s="419" t="s">
        <v>17</v>
      </c>
      <c r="H32" s="420"/>
      <c r="I32" s="421"/>
      <c r="J32" s="7" t="s">
        <v>18</v>
      </c>
      <c r="K32" s="7" t="s">
        <v>66</v>
      </c>
      <c r="L32" s="97"/>
      <c r="M32" s="419" t="s">
        <v>19</v>
      </c>
      <c r="N32" s="420"/>
      <c r="O32" s="421"/>
      <c r="P32" s="7" t="s">
        <v>18</v>
      </c>
      <c r="Q32" s="7" t="s">
        <v>50</v>
      </c>
    </row>
    <row r="33" spans="2:17" ht="16" thickBot="1" x14ac:dyDescent="0.25">
      <c r="B33" s="27" t="s">
        <v>43</v>
      </c>
      <c r="C33" s="50">
        <f>SUM(C28:C32)</f>
        <v>284962.88</v>
      </c>
      <c r="G33" s="9"/>
      <c r="J33" s="73">
        <f>C15</f>
        <v>850000</v>
      </c>
      <c r="K33" s="73">
        <f>J33-SUM(C7,C13)</f>
        <v>850000</v>
      </c>
      <c r="L33" s="97"/>
      <c r="M33" s="9"/>
      <c r="P33" s="20">
        <f>J33</f>
        <v>850000</v>
      </c>
      <c r="Q33" s="121">
        <f>K33</f>
        <v>850000</v>
      </c>
    </row>
    <row r="34" spans="2:17" x14ac:dyDescent="0.2">
      <c r="B34" s="26" t="s">
        <v>25</v>
      </c>
      <c r="C34" s="53">
        <f>C37/C15</f>
        <v>0.33525044705882351</v>
      </c>
      <c r="G34" s="60">
        <f>'Tax Tables'!B25</f>
        <v>0</v>
      </c>
      <c r="H34" s="65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25500</v>
      </c>
      <c r="K34" s="38">
        <f>IF(IF(K$33&gt;H34,(H34-G34)*I34,(K$33-G34)*I34)&gt;0,IF(K$33&gt;H34,(H34-G34)*I34,(K$33-G34)*I34),0)</f>
        <v>25500</v>
      </c>
      <c r="L34" s="97"/>
      <c r="M34" s="60">
        <f>'Tax Tables'!F25</f>
        <v>0</v>
      </c>
      <c r="N34" s="65">
        <f>'Tax Tables'!G25</f>
        <v>100000000</v>
      </c>
      <c r="O34" s="66">
        <f>'Tax Tables'!H25</f>
        <v>0.03</v>
      </c>
      <c r="P34" s="36">
        <f>IF(IF(P$33&gt;N34,(N34-M34)*O34,(P$33-M34)*O34)&gt;0,IF(P$33&gt;N34,(N34-M34)*O34,(P$33-M34)*O34),0)</f>
        <v>25500</v>
      </c>
      <c r="Q34" s="38">
        <f>IF(IF(Q$33&gt;N34,(N34-M34)*O34,(Q$33-M34)*O34)&gt;0,IF(Q$33&gt;N34,(N34-M34)*O34,(Q$33-M34)*O34),0)</f>
        <v>25500</v>
      </c>
    </row>
    <row r="35" spans="2:17" x14ac:dyDescent="0.2">
      <c r="B35" s="27" t="s">
        <v>114</v>
      </c>
      <c r="C35" s="52">
        <f>'No planning'!C23</f>
        <v>98895.419999999984</v>
      </c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>IF(IF(K$33&gt;H35,(H35-G35)*I35,(K$33-G35)*I35)&gt;0,IF(K$33&gt;H35,(H35-G35)*I35,(K$33-G35)*I35),0)</f>
        <v>0</v>
      </c>
      <c r="L35" s="97"/>
      <c r="M35" s="60">
        <f>'Tax Tables'!F26</f>
        <v>0</v>
      </c>
      <c r="N35" s="65">
        <f>'Tax Tables'!G26</f>
        <v>0</v>
      </c>
      <c r="O35" s="29">
        <f>'Tax Tables'!H26</f>
        <v>0</v>
      </c>
      <c r="P35" s="34">
        <f>IF(IF(P$33&gt;N35,(N35-M35)*O35,(P$33-M35)*O35)&gt;0,IF(P$33&gt;N35,(N35-M35)*O35,(P$33-M35)*O35),0)</f>
        <v>0</v>
      </c>
      <c r="Q35" s="11">
        <f>IF(IF(Q$33&gt;N35,(N35-M35)*O35,(Q$33-M35)*O35)&gt;0,IF(Q$33&gt;N35,(N35-M35)*O35,(Q$33-M35)*O35),0)</f>
        <v>0</v>
      </c>
    </row>
    <row r="36" spans="2:17" ht="16" thickBot="1" x14ac:dyDescent="0.25">
      <c r="B36" s="47" t="s">
        <v>45</v>
      </c>
      <c r="C36" s="64">
        <f>D18+E18</f>
        <v>0</v>
      </c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>IF(IF(K$33&gt;H36,(H36-G36)*I36,(K$33-G36)*I36)&gt;0,IF(K$33&gt;H36,(H36-G36)*I36,(K$33-G36)*I36),0)</f>
        <v>0</v>
      </c>
      <c r="L36" s="97"/>
      <c r="M36" s="60">
        <f>'Tax Tables'!F27</f>
        <v>0</v>
      </c>
      <c r="N36" s="65">
        <f>'Tax Tables'!G27</f>
        <v>0</v>
      </c>
      <c r="O36" s="29">
        <f>'Tax Tables'!H27</f>
        <v>0</v>
      </c>
      <c r="P36" s="34">
        <f>IF(IF(P$33&gt;N36,(N36-M36)*O36,(P$33-M36)*O36)&gt;0,IF(P$33&gt;N36,(N36-M36)*O36,(P$33-M36)*O36),0)</f>
        <v>0</v>
      </c>
      <c r="Q36" s="11">
        <f>IF(IF(Q$33&gt;N36,(N36-M36)*O36,(Q$33-M36)*O36)&gt;0,IF(Q$33&gt;N36,(N36-M36)*O36,(Q$33-M36)*O36),0)</f>
        <v>0</v>
      </c>
    </row>
    <row r="37" spans="2:17" ht="16" thickBot="1" x14ac:dyDescent="0.25">
      <c r="B37" s="84" t="s">
        <v>11</v>
      </c>
      <c r="C37" s="126">
        <f>C36+C33+C39</f>
        <v>284962.88</v>
      </c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>IF(IF(K$33&gt;H37,(H37-G37)*I37,(K$33-G37)*I37)&gt;0,IF(K$33&gt;H37,(H37-G37)*I37,(K$33-G37)*I37),0)</f>
        <v>0</v>
      </c>
      <c r="L37" s="97"/>
      <c r="M37" s="60">
        <f>'Tax Tables'!F28</f>
        <v>0</v>
      </c>
      <c r="N37" s="65">
        <f>'Tax Tables'!G28</f>
        <v>0</v>
      </c>
      <c r="O37" s="29">
        <f>'Tax Tables'!H28</f>
        <v>0</v>
      </c>
      <c r="P37" s="34">
        <f>IF(IF(P$33&gt;N37,(N37-M37)*O37,(P$33-M37)*O37)&gt;0,IF(P$33&gt;N37,(N37-M37)*O37,(P$33-M37)*O37),0)</f>
        <v>0</v>
      </c>
      <c r="Q37" s="11">
        <f>IF(IF(Q$33&gt;N37,(N37-M37)*O37,(Q$33-M37)*O37)&gt;0,IF(Q$33&gt;N37,(N37-M37)*O37,(Q$33-M37)*O37),0)</f>
        <v>0</v>
      </c>
    </row>
    <row r="38" spans="2:17" ht="16" thickBot="1" x14ac:dyDescent="0.25">
      <c r="B38" s="24" t="s">
        <v>64</v>
      </c>
      <c r="C38" s="54">
        <f>C35-C37</f>
        <v>-186067.46000000002</v>
      </c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>IF(IF(K$33&gt;H38,(H38-G38)*I38,(K$33-G38)*I38)&gt;0,IF(K$33&gt;H38,(H38-G38)*I38,(K$33-G38)*I38),0)</f>
        <v>0</v>
      </c>
      <c r="L38" s="97"/>
      <c r="M38" s="60">
        <f>'Tax Tables'!F29</f>
        <v>0</v>
      </c>
      <c r="N38" s="65">
        <f>'Tax Tables'!G29</f>
        <v>0</v>
      </c>
      <c r="O38" s="29">
        <f>'Tax Tables'!H29</f>
        <v>0</v>
      </c>
      <c r="P38" s="34">
        <f>IF(IF(P$33&gt;N38,(N38-M38)*O38,(P$33-M38)*O38)&gt;0,IF(P$33&gt;N38,(N38-M38)*O38,(P$33-M38)*O38),0)</f>
        <v>0</v>
      </c>
      <c r="Q38" s="11">
        <f>IF(IF(Q$33&gt;N38,(N38-M38)*O38,(Q$33-M38)*O38)&gt;0,IF(Q$33&gt;N38,(N38-M38)*O38,(Q$33-M38)*O38),0)</f>
        <v>0</v>
      </c>
    </row>
    <row r="39" spans="2:17" ht="16" thickBot="1" x14ac:dyDescent="0.25">
      <c r="B39" s="24" t="s">
        <v>65</v>
      </c>
      <c r="C39" s="128">
        <f>SUM(D20:E20)</f>
        <v>0</v>
      </c>
      <c r="G39" s="15"/>
      <c r="H39" s="12"/>
      <c r="I39" s="41"/>
      <c r="J39" s="35"/>
      <c r="K39" s="14"/>
      <c r="L39" s="97"/>
      <c r="M39" s="15"/>
      <c r="N39" s="12"/>
      <c r="O39" s="22"/>
      <c r="P39" s="14"/>
      <c r="Q39" s="14"/>
    </row>
    <row r="40" spans="2:17" ht="16" thickBot="1" x14ac:dyDescent="0.25">
      <c r="B40" s="84" t="s">
        <v>120</v>
      </c>
      <c r="C40" s="126">
        <f>C38+C39</f>
        <v>-186067.46000000002</v>
      </c>
      <c r="F40" s="4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8"/>
    </row>
    <row r="41" spans="2:17" ht="16" thickBot="1" x14ac:dyDescent="0.25">
      <c r="G41" s="96"/>
      <c r="H41" s="97"/>
      <c r="I41" s="422" t="s">
        <v>26</v>
      </c>
      <c r="J41" s="423"/>
      <c r="K41" s="125" t="s">
        <v>38</v>
      </c>
      <c r="L41" s="97"/>
      <c r="M41" s="97"/>
      <c r="N41" s="97"/>
      <c r="O41" s="422" t="s">
        <v>26</v>
      </c>
      <c r="P41" s="423"/>
      <c r="Q41" s="125" t="s">
        <v>38</v>
      </c>
    </row>
    <row r="42" spans="2:17" ht="16" thickBot="1" x14ac:dyDescent="0.25">
      <c r="D42" s="4"/>
      <c r="E42" s="4"/>
      <c r="G42" s="101"/>
      <c r="H42" s="100"/>
      <c r="I42" s="106">
        <f>SUM(J34:J39)</f>
        <v>25500</v>
      </c>
      <c r="J42" s="106">
        <f>SUM(K34:K39)</f>
        <v>25500</v>
      </c>
      <c r="K42" s="107">
        <f>I42-J42</f>
        <v>0</v>
      </c>
      <c r="L42" s="100"/>
      <c r="M42" s="100"/>
      <c r="N42" s="100"/>
      <c r="O42" s="106">
        <f>SUM(P34:P39)</f>
        <v>25500</v>
      </c>
      <c r="P42" s="106">
        <f>SUM(Q34:Q39)</f>
        <v>25500</v>
      </c>
      <c r="Q42" s="107">
        <f>O42-P42</f>
        <v>0</v>
      </c>
    </row>
    <row r="43" spans="2:17" ht="16" thickBot="1" x14ac:dyDescent="0.25"/>
    <row r="44" spans="2:17" x14ac:dyDescent="0.2">
      <c r="I44" s="181" t="s">
        <v>195</v>
      </c>
      <c r="J44" s="175">
        <f>'Tax Tables'!$C$34</f>
        <v>3.7999999999999999E-2</v>
      </c>
    </row>
    <row r="45" spans="2:17" ht="16" thickBot="1" x14ac:dyDescent="0.25">
      <c r="I45" s="174">
        <f>SUM(C8:C11)</f>
        <v>0</v>
      </c>
      <c r="J45" s="336">
        <f>IF(C15-C23-C24-IF(C5="Married-Joint",250000,200000)&gt;I45,(C15-C23-C24-IF(C5="Married-Joint",250000,200000))*J44, I45*J44)</f>
        <v>22800</v>
      </c>
    </row>
    <row r="46" spans="2:17" x14ac:dyDescent="0.2">
      <c r="F46" s="1"/>
    </row>
    <row r="47" spans="2:17" x14ac:dyDescent="0.2">
      <c r="F47" s="23"/>
    </row>
    <row r="48" spans="2:17" x14ac:dyDescent="0.2">
      <c r="D48" s="18"/>
      <c r="E48" s="1"/>
    </row>
    <row r="49" spans="2:5" x14ac:dyDescent="0.2">
      <c r="D49" s="4"/>
      <c r="E49" s="23"/>
    </row>
    <row r="56" spans="2:5" x14ac:dyDescent="0.2">
      <c r="C56" s="18"/>
    </row>
    <row r="57" spans="2:5" x14ac:dyDescent="0.2">
      <c r="B57" s="4"/>
      <c r="C57" s="4"/>
    </row>
  </sheetData>
  <mergeCells count="18">
    <mergeCell ref="D16:E16"/>
    <mergeCell ref="I16:J16"/>
    <mergeCell ref="O16:P16"/>
    <mergeCell ref="B1:E1"/>
    <mergeCell ref="G4:Q4"/>
    <mergeCell ref="G6:I6"/>
    <mergeCell ref="M6:O6"/>
    <mergeCell ref="D15:E15"/>
    <mergeCell ref="G32:I32"/>
    <mergeCell ref="M32:O32"/>
    <mergeCell ref="I41:J41"/>
    <mergeCell ref="O41:P41"/>
    <mergeCell ref="G19:Q19"/>
    <mergeCell ref="G21:I21"/>
    <mergeCell ref="M21:O21"/>
    <mergeCell ref="I27:J27"/>
    <mergeCell ref="O27:P27"/>
    <mergeCell ref="G30:Q3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9BF2-3DC7-FC43-8115-36A2E1C941A8}">
  <dimension ref="B1:U82"/>
  <sheetViews>
    <sheetView topLeftCell="E19" zoomScaleNormal="100" workbookViewId="0">
      <selection activeCell="J45" sqref="J45"/>
    </sheetView>
  </sheetViews>
  <sheetFormatPr baseColWidth="10" defaultColWidth="8.83203125" defaultRowHeight="15" x14ac:dyDescent="0.2"/>
  <cols>
    <col min="1" max="1" width="5.33203125" customWidth="1"/>
    <col min="2" max="2" width="28.33203125" bestFit="1" customWidth="1"/>
    <col min="3" max="3" width="19.83203125" customWidth="1"/>
    <col min="4" max="4" width="21.33203125" customWidth="1"/>
    <col min="5" max="5" width="19.6640625" bestFit="1" customWidth="1"/>
    <col min="6" max="6" width="19.5" customWidth="1"/>
    <col min="7" max="7" width="12.6640625" bestFit="1" customWidth="1"/>
    <col min="8" max="8" width="18.83203125" bestFit="1" customWidth="1"/>
    <col min="9" max="9" width="14.1640625" bestFit="1" customWidth="1"/>
    <col min="10" max="10" width="19.1640625" customWidth="1"/>
    <col min="11" max="11" width="17.33203125" bestFit="1" customWidth="1"/>
    <col min="12" max="12" width="17.33203125" customWidth="1"/>
    <col min="13" max="13" width="13.1640625" customWidth="1"/>
    <col min="14" max="14" width="12.6640625" bestFit="1" customWidth="1"/>
    <col min="15" max="15" width="18.83203125" bestFit="1" customWidth="1"/>
    <col min="16" max="16" width="12.6640625" bestFit="1" customWidth="1"/>
    <col min="17" max="17" width="13.5" bestFit="1" customWidth="1"/>
    <col min="18" max="18" width="15.5" customWidth="1"/>
    <col min="19" max="19" width="19.6640625" customWidth="1"/>
    <col min="20" max="20" width="12.5" bestFit="1" customWidth="1"/>
    <col min="23" max="24" width="13" bestFit="1" customWidth="1"/>
    <col min="26" max="27" width="14.6640625" bestFit="1" customWidth="1"/>
  </cols>
  <sheetData>
    <row r="1" spans="2:21" ht="27" thickBot="1" x14ac:dyDescent="0.35">
      <c r="B1" s="456" t="s">
        <v>47</v>
      </c>
      <c r="C1" s="457"/>
      <c r="D1" s="457"/>
      <c r="E1" s="458"/>
    </row>
    <row r="3" spans="2:21" ht="16" thickBot="1" x14ac:dyDescent="0.25"/>
    <row r="4" spans="2:21" ht="16" thickBot="1" x14ac:dyDescent="0.25">
      <c r="B4" s="48"/>
      <c r="C4" s="25"/>
      <c r="D4" s="57" t="s">
        <v>3</v>
      </c>
      <c r="E4" s="57" t="s">
        <v>3</v>
      </c>
      <c r="F4" s="78"/>
      <c r="G4" s="203" t="s">
        <v>106</v>
      </c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9"/>
    </row>
    <row r="5" spans="2:21" ht="16" thickBot="1" x14ac:dyDescent="0.25">
      <c r="B5" s="27" t="s">
        <v>13</v>
      </c>
      <c r="C5" s="76" t="str">
        <f>'Strategy comparison'!C4</f>
        <v>Married-Joint</v>
      </c>
      <c r="D5" s="58" t="s">
        <v>0</v>
      </c>
      <c r="E5" s="58" t="s">
        <v>5</v>
      </c>
      <c r="F5" s="85"/>
      <c r="G5" s="96"/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97"/>
    </row>
    <row r="6" spans="2:21" ht="16" thickBot="1" x14ac:dyDescent="0.25">
      <c r="B6" s="28" t="s">
        <v>14</v>
      </c>
      <c r="C6" s="49">
        <f>'Strategy comparison'!C5</f>
        <v>400000</v>
      </c>
      <c r="D6" s="42">
        <v>1</v>
      </c>
      <c r="E6" s="42">
        <v>1</v>
      </c>
      <c r="F6" s="71"/>
      <c r="G6" s="419" t="s">
        <v>17</v>
      </c>
      <c r="H6" s="420"/>
      <c r="I6" s="421"/>
      <c r="J6" s="7" t="s">
        <v>121</v>
      </c>
      <c r="K6" s="7" t="s">
        <v>122</v>
      </c>
      <c r="L6" s="7" t="s">
        <v>123</v>
      </c>
      <c r="M6" s="97"/>
      <c r="N6" s="419" t="s">
        <v>19</v>
      </c>
      <c r="O6" s="420"/>
      <c r="P6" s="421"/>
      <c r="Q6" s="7" t="s">
        <v>121</v>
      </c>
      <c r="R6" s="7" t="s">
        <v>122</v>
      </c>
      <c r="S6" s="7" t="s">
        <v>123</v>
      </c>
    </row>
    <row r="7" spans="2:21" ht="16" thickBot="1" x14ac:dyDescent="0.25">
      <c r="B7" s="28" t="s">
        <v>15</v>
      </c>
      <c r="C7" s="49">
        <f>'Strategy comparison'!C6</f>
        <v>0</v>
      </c>
      <c r="D7" s="61" t="s">
        <v>48</v>
      </c>
      <c r="E7" s="61" t="s">
        <v>48</v>
      </c>
      <c r="F7" s="86"/>
      <c r="G7" s="30"/>
      <c r="H7" s="31"/>
      <c r="I7" s="32"/>
      <c r="J7" s="69">
        <f>C12</f>
        <v>400000</v>
      </c>
      <c r="K7" s="69">
        <f>C12-C23</f>
        <v>400000</v>
      </c>
      <c r="L7" s="230">
        <f>K7-MIN(K7,C61)</f>
        <v>200000</v>
      </c>
      <c r="M7" s="97"/>
      <c r="N7" s="30"/>
      <c r="O7" s="31"/>
      <c r="P7" s="32"/>
      <c r="Q7" s="39">
        <f>J7</f>
        <v>400000</v>
      </c>
      <c r="R7" s="33">
        <f>K7</f>
        <v>400000</v>
      </c>
      <c r="S7" s="230">
        <f>L7</f>
        <v>200000</v>
      </c>
    </row>
    <row r="8" spans="2:21" ht="16" thickBot="1" x14ac:dyDescent="0.25">
      <c r="B8" s="28" t="s">
        <v>49</v>
      </c>
      <c r="C8" s="49">
        <f>'Strategy comparison'!C7</f>
        <v>0</v>
      </c>
      <c r="D8" s="62" t="s">
        <v>30</v>
      </c>
      <c r="E8" s="62" t="s">
        <v>30</v>
      </c>
      <c r="F8" s="86"/>
      <c r="G8" s="36">
        <f>'Tax Tables'!B6</f>
        <v>0</v>
      </c>
      <c r="H8" s="43">
        <f>'Tax Tables'!C6</f>
        <v>24800</v>
      </c>
      <c r="I8" s="37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38">
        <f>IF(IF(L$7&gt;H8,(H8-G8)*I8,(L$7-G8)*I8)&gt;0,IF(L$7&gt;H8,(H8-G8)*I8,(L$7-G8)*I8),0)</f>
        <v>2480</v>
      </c>
      <c r="M8" s="97"/>
      <c r="N8" s="34">
        <f>'Tax Tables'!F6</f>
        <v>0</v>
      </c>
      <c r="O8" s="44">
        <f>'Tax Tables'!G6</f>
        <v>12400</v>
      </c>
      <c r="P8" s="10">
        <f>'Tax Tables'!H6</f>
        <v>0.1</v>
      </c>
      <c r="Q8" s="38">
        <f t="shared" ref="Q8:Q13" si="2">IF(IF(Q$7&gt;O8,(O8-N8)*P8,(Q$7-N8)*P8)&gt;0,IF(Q$7&gt;O8,(O8-N8)*P8,(Q$7-N8)*P8),0)</f>
        <v>1240</v>
      </c>
      <c r="R8" s="38">
        <f t="shared" ref="R8:R13" si="3">IF(IF(R$7&gt;O8,(O8-N8)*P8,(R$7-N8)*P8)&gt;0,IF(R$7&gt;O8,(O8-N8)*P8,(R$7-N8)*P8),0)</f>
        <v>1240</v>
      </c>
      <c r="S8" s="38">
        <f>IF(IF(S$7&gt;O8,(O8-N8)*P8,(S$7-N8)*P8)&gt;0,IF(S$7&gt;O8,(O8-N8)*P8,(S$7-N8)*P8),0)</f>
        <v>1240</v>
      </c>
    </row>
    <row r="9" spans="2:21" ht="16" thickBot="1" x14ac:dyDescent="0.25">
      <c r="B9" s="27" t="s">
        <v>96</v>
      </c>
      <c r="C9" s="49">
        <f>'Strategy comparison'!C9</f>
        <v>0</v>
      </c>
      <c r="D9" s="63">
        <v>8</v>
      </c>
      <c r="E9" s="63">
        <v>10</v>
      </c>
      <c r="F9" s="1"/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38">
        <f t="shared" ref="L9:L14" si="4">IF(IF(L$7&gt;H9,(H9-G9)*I9,(L$7-G9)*I9)&gt;0,IF(L$7&gt;H9,(H9-G9)*I9,(L$7-G9)*I9),0)</f>
        <v>9119.8799999999992</v>
      </c>
      <c r="M9" s="97"/>
      <c r="N9" s="34">
        <f>'Tax Tables'!F7</f>
        <v>12401</v>
      </c>
      <c r="O9" s="44">
        <f>'Tax Tables'!G7</f>
        <v>50400</v>
      </c>
      <c r="P9" s="10">
        <f>'Tax Tables'!H7</f>
        <v>0.12</v>
      </c>
      <c r="Q9" s="11">
        <f t="shared" si="2"/>
        <v>4559.88</v>
      </c>
      <c r="R9" s="11">
        <f t="shared" si="3"/>
        <v>4559.88</v>
      </c>
      <c r="S9" s="38">
        <f t="shared" ref="S9:S14" si="5">IF(IF(S$7&gt;O9,(O9-N9)*P9,(S$7-N9)*P9)&gt;0,IF(S$7&gt;O9,(O9-N9)*P9,(S$7-N9)*P9),0)</f>
        <v>4559.88</v>
      </c>
    </row>
    <row r="10" spans="2:21" ht="16" thickBot="1" x14ac:dyDescent="0.25">
      <c r="B10" s="27" t="s">
        <v>98</v>
      </c>
      <c r="C10" s="49">
        <f>'Strategy comparison'!C10</f>
        <v>0</v>
      </c>
      <c r="D10" s="2" t="s">
        <v>51</v>
      </c>
      <c r="E10" s="2" t="s">
        <v>51</v>
      </c>
      <c r="F10" s="79"/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38">
        <f t="shared" si="4"/>
        <v>21823.78</v>
      </c>
      <c r="M10" s="97"/>
      <c r="N10" s="34">
        <f>'Tax Tables'!F8</f>
        <v>50401</v>
      </c>
      <c r="O10" s="44">
        <f>'Tax Tables'!G8</f>
        <v>105700</v>
      </c>
      <c r="P10" s="10">
        <f>'Tax Tables'!H8</f>
        <v>0.22</v>
      </c>
      <c r="Q10" s="11">
        <f t="shared" si="2"/>
        <v>12165.78</v>
      </c>
      <c r="R10" s="11">
        <f t="shared" si="3"/>
        <v>12165.78</v>
      </c>
      <c r="S10" s="38">
        <f t="shared" si="5"/>
        <v>12165.78</v>
      </c>
    </row>
    <row r="11" spans="2:21" ht="16" thickBot="1" x14ac:dyDescent="0.25">
      <c r="B11" s="27" t="s">
        <v>97</v>
      </c>
      <c r="C11" s="49">
        <f>'Strategy comparison'!C11</f>
        <v>0</v>
      </c>
      <c r="D11" s="3" t="s">
        <v>52</v>
      </c>
      <c r="E11" s="3" t="s">
        <v>52</v>
      </c>
      <c r="F11" s="79"/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1">
        <f t="shared" si="1"/>
        <v>45263.759999999995</v>
      </c>
      <c r="L11" s="38">
        <f t="shared" si="4"/>
        <v>0</v>
      </c>
      <c r="M11" s="97"/>
      <c r="N11" s="34">
        <f>'Tax Tables'!F9</f>
        <v>105701</v>
      </c>
      <c r="O11" s="44">
        <f>'Tax Tables'!G9</f>
        <v>201775</v>
      </c>
      <c r="P11" s="10">
        <f>'Tax Tables'!H9</f>
        <v>0.24</v>
      </c>
      <c r="Q11" s="11">
        <f t="shared" si="2"/>
        <v>23057.759999999998</v>
      </c>
      <c r="R11" s="11">
        <f t="shared" si="3"/>
        <v>23057.759999999998</v>
      </c>
      <c r="S11" s="38">
        <f t="shared" si="5"/>
        <v>22631.759999999998</v>
      </c>
    </row>
    <row r="12" spans="2:21" ht="16" thickBot="1" x14ac:dyDescent="0.25">
      <c r="B12" s="28" t="s">
        <v>100</v>
      </c>
      <c r="C12" s="49">
        <f>SUM(C6:C9)+C11</f>
        <v>400000</v>
      </c>
      <c r="D12" s="129">
        <f>C23/D9</f>
        <v>0</v>
      </c>
      <c r="E12" s="5">
        <f>C24/E9</f>
        <v>0</v>
      </c>
      <c r="F12" s="87"/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1">
        <f t="shared" si="1"/>
        <v>0</v>
      </c>
      <c r="L12" s="38">
        <f t="shared" si="4"/>
        <v>0</v>
      </c>
      <c r="M12" s="97"/>
      <c r="N12" s="34">
        <f>'Tax Tables'!F10</f>
        <v>201776</v>
      </c>
      <c r="O12" s="44">
        <f>'Tax Tables'!G10</f>
        <v>256225</v>
      </c>
      <c r="P12" s="10">
        <f>'Tax Tables'!H10</f>
        <v>0.32</v>
      </c>
      <c r="Q12" s="11">
        <f t="shared" si="2"/>
        <v>17423.68</v>
      </c>
      <c r="R12" s="11">
        <f t="shared" si="3"/>
        <v>17423.68</v>
      </c>
      <c r="S12" s="38">
        <f t="shared" si="5"/>
        <v>0</v>
      </c>
    </row>
    <row r="13" spans="2:21" ht="16" thickBot="1" x14ac:dyDescent="0.25">
      <c r="B13" s="28" t="s">
        <v>20</v>
      </c>
      <c r="C13" s="49">
        <f>'Strategy comparison'!C8</f>
        <v>0</v>
      </c>
      <c r="D13" s="3" t="s">
        <v>53</v>
      </c>
      <c r="E13" s="3" t="s">
        <v>54</v>
      </c>
      <c r="F13" s="79"/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1">
        <f t="shared" si="1"/>
        <v>0</v>
      </c>
      <c r="L13" s="38">
        <f t="shared" si="4"/>
        <v>0</v>
      </c>
      <c r="M13" s="97"/>
      <c r="N13" s="34">
        <f>'Tax Tables'!F11</f>
        <v>256226</v>
      </c>
      <c r="O13" s="44">
        <f>'Tax Tables'!G11</f>
        <v>640600</v>
      </c>
      <c r="P13" s="10">
        <f>'Tax Tables'!H11</f>
        <v>0.35</v>
      </c>
      <c r="Q13" s="11">
        <f t="shared" si="2"/>
        <v>50320.899999999994</v>
      </c>
      <c r="R13" s="11">
        <f t="shared" si="3"/>
        <v>50320.899999999994</v>
      </c>
      <c r="S13" s="38">
        <f t="shared" si="5"/>
        <v>0</v>
      </c>
    </row>
    <row r="14" spans="2:21" ht="16" thickBot="1" x14ac:dyDescent="0.25">
      <c r="B14" s="28" t="s">
        <v>102</v>
      </c>
      <c r="C14" s="49">
        <f>C13+C10</f>
        <v>0</v>
      </c>
      <c r="D14" s="5">
        <f>C23*0.05</f>
        <v>0</v>
      </c>
      <c r="E14" s="5">
        <f>C24*0.05</f>
        <v>0</v>
      </c>
      <c r="F14" s="87"/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4">
        <f>IF(K7&gt;=G14,(K7-G14)*I14,0)</f>
        <v>0</v>
      </c>
      <c r="L14" s="38">
        <f t="shared" si="4"/>
        <v>0</v>
      </c>
      <c r="M14" s="97"/>
      <c r="N14" s="35">
        <f>'Tax Tables'!F12</f>
        <v>640601</v>
      </c>
      <c r="O14" s="45">
        <f>'Tax Tables'!G12</f>
        <v>99999999999</v>
      </c>
      <c r="P14" s="13">
        <f>'Tax Tables'!H12</f>
        <v>0.37</v>
      </c>
      <c r="Q14" s="14">
        <f>IF(Q7&gt;=N14,(Q7-N14)*P14,0)</f>
        <v>0</v>
      </c>
      <c r="R14" s="14">
        <f>IF(R7&gt;=N14,(R7-N14)*P14,0)</f>
        <v>0</v>
      </c>
      <c r="S14" s="231">
        <f t="shared" si="5"/>
        <v>0</v>
      </c>
    </row>
    <row r="15" spans="2:21" ht="16" thickBot="1" x14ac:dyDescent="0.25">
      <c r="B15" s="28" t="s">
        <v>18</v>
      </c>
      <c r="C15" s="49">
        <f>C12+C14</f>
        <v>400000</v>
      </c>
      <c r="D15" s="452" t="s">
        <v>27</v>
      </c>
      <c r="E15" s="453"/>
      <c r="F15" s="127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97"/>
    </row>
    <row r="16" spans="2:21" ht="16" thickBot="1" x14ac:dyDescent="0.25">
      <c r="B16" s="28" t="s">
        <v>21</v>
      </c>
      <c r="C16" s="49">
        <f>IF(C5="Single",Q17,IF(C5="Married-Joint",J17,"Filing Status?"))</f>
        <v>81195.419999999984</v>
      </c>
      <c r="D16" s="454">
        <f>'Strategy comparison'!C12</f>
        <v>0</v>
      </c>
      <c r="E16" s="455"/>
      <c r="F16" s="87"/>
      <c r="G16" s="96"/>
      <c r="H16" s="97"/>
      <c r="I16" s="97"/>
      <c r="J16" s="422" t="s">
        <v>26</v>
      </c>
      <c r="K16" s="443"/>
      <c r="L16" s="423"/>
      <c r="M16" s="104" t="s">
        <v>38</v>
      </c>
      <c r="N16" s="196"/>
      <c r="O16" s="97"/>
      <c r="P16" s="97"/>
      <c r="Q16" s="422" t="s">
        <v>26</v>
      </c>
      <c r="R16" s="443"/>
      <c r="S16" s="423"/>
      <c r="T16" s="104" t="s">
        <v>38</v>
      </c>
      <c r="U16" s="196"/>
    </row>
    <row r="17" spans="2:21" ht="16" thickBot="1" x14ac:dyDescent="0.25">
      <c r="B17" s="28" t="s">
        <v>22</v>
      </c>
      <c r="C17" s="52">
        <f>IF(C5="Single",Q42,IF(C5="Married-Joint",J42,"Filing Status?"))</f>
        <v>12000</v>
      </c>
      <c r="D17" s="3" t="s">
        <v>55</v>
      </c>
      <c r="E17" s="3" t="s">
        <v>55</v>
      </c>
      <c r="F17" s="79"/>
      <c r="G17" s="101"/>
      <c r="H17" s="100"/>
      <c r="I17" s="100"/>
      <c r="J17" s="106">
        <f>SUM(J8:J14)</f>
        <v>81195.419999999984</v>
      </c>
      <c r="K17" s="106">
        <f>SUM(K8:K14)</f>
        <v>81195.419999999984</v>
      </c>
      <c r="L17" s="106">
        <f>SUM(L8:L14)</f>
        <v>33423.659999999996</v>
      </c>
      <c r="M17" s="107">
        <f>J17-L17</f>
        <v>47771.759999999987</v>
      </c>
      <c r="N17" s="197"/>
      <c r="O17" s="100"/>
      <c r="P17" s="100"/>
      <c r="Q17" s="106">
        <f>SUM(Q8:Q14)</f>
        <v>108768</v>
      </c>
      <c r="R17" s="106">
        <f>SUM(R8:R14)</f>
        <v>108768</v>
      </c>
      <c r="S17" s="106">
        <f>SUM(S8:S14)</f>
        <v>40597.42</v>
      </c>
      <c r="T17" s="107">
        <f>Q17-S17</f>
        <v>68170.58</v>
      </c>
      <c r="U17" s="200"/>
    </row>
    <row r="18" spans="2:21" ht="16" thickBot="1" x14ac:dyDescent="0.25">
      <c r="B18" s="28" t="s">
        <v>23</v>
      </c>
      <c r="C18" s="52">
        <f>IF(C5="Single",Q28,IF(C5="Married-Joint",J28,"Filing Status?"))</f>
        <v>0</v>
      </c>
      <c r="D18" s="5">
        <f>D12+D14</f>
        <v>0</v>
      </c>
      <c r="E18" s="5">
        <f>E12+E14+D16</f>
        <v>0</v>
      </c>
      <c r="F18" s="87"/>
      <c r="G18" s="6"/>
    </row>
    <row r="19" spans="2:21" x14ac:dyDescent="0.2">
      <c r="B19" s="28" t="s">
        <v>90</v>
      </c>
      <c r="C19" s="178">
        <f>J45</f>
        <v>0</v>
      </c>
      <c r="D19" s="3" t="s">
        <v>58</v>
      </c>
      <c r="E19" s="3" t="s">
        <v>58</v>
      </c>
      <c r="G19" s="206" t="s">
        <v>105</v>
      </c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8"/>
      <c r="S19" s="201"/>
    </row>
    <row r="20" spans="2:21" ht="16" thickBot="1" x14ac:dyDescent="0.25">
      <c r="B20" s="27" t="s">
        <v>24</v>
      </c>
      <c r="C20" s="50">
        <f>SUM(C16:C19)</f>
        <v>93195.419999999984</v>
      </c>
      <c r="D20" s="5">
        <f>D12*0.6</f>
        <v>0</v>
      </c>
      <c r="E20" s="5">
        <f>E12*0.5</f>
        <v>0</v>
      </c>
      <c r="G20" s="96"/>
      <c r="H20" s="100"/>
      <c r="I20" s="97"/>
      <c r="J20" s="97"/>
      <c r="K20" s="97"/>
      <c r="L20" s="97"/>
      <c r="M20" s="97"/>
      <c r="N20" s="97"/>
      <c r="O20" s="97"/>
      <c r="P20" s="97"/>
      <c r="Q20" s="97"/>
      <c r="R20" s="98"/>
      <c r="S20" s="97"/>
    </row>
    <row r="21" spans="2:21" ht="16" thickBot="1" x14ac:dyDescent="0.25">
      <c r="B21" s="26" t="s">
        <v>25</v>
      </c>
      <c r="C21" s="59">
        <f>C20/C15</f>
        <v>0.23298854999999996</v>
      </c>
      <c r="G21" s="419" t="s">
        <v>17</v>
      </c>
      <c r="H21" s="420"/>
      <c r="I21" s="421"/>
      <c r="J21" s="188" t="s">
        <v>108</v>
      </c>
      <c r="K21" s="189" t="s">
        <v>117</v>
      </c>
      <c r="L21" s="189" t="s">
        <v>118</v>
      </c>
      <c r="M21" s="97"/>
      <c r="N21" s="419" t="s">
        <v>19</v>
      </c>
      <c r="O21" s="420"/>
      <c r="P21" s="421"/>
      <c r="Q21" s="188" t="s">
        <v>108</v>
      </c>
      <c r="R21" s="189" t="s">
        <v>117</v>
      </c>
      <c r="S21" s="189" t="s">
        <v>118</v>
      </c>
    </row>
    <row r="22" spans="2:21" ht="16" thickBot="1" x14ac:dyDescent="0.25">
      <c r="B22" s="26"/>
      <c r="C22" s="55"/>
      <c r="D22" s="6"/>
      <c r="G22" s="30"/>
      <c r="H22" s="31"/>
      <c r="I22" s="32"/>
      <c r="J22" s="73">
        <f>C14</f>
        <v>0</v>
      </c>
      <c r="K22" s="69">
        <f>C27</f>
        <v>0</v>
      </c>
      <c r="L22" s="69">
        <f>K22-IF(C61&gt;K7,C61-K7,0)</f>
        <v>0</v>
      </c>
      <c r="M22" s="97"/>
      <c r="N22" s="30"/>
      <c r="O22" s="31"/>
      <c r="P22" s="32"/>
      <c r="Q22" s="33">
        <f>J22</f>
        <v>0</v>
      </c>
      <c r="R22" s="80">
        <f>K22</f>
        <v>0</v>
      </c>
      <c r="S22" s="69">
        <f>L22</f>
        <v>0</v>
      </c>
    </row>
    <row r="23" spans="2:21" ht="16" thickBot="1" x14ac:dyDescent="0.25">
      <c r="B23" s="27" t="s">
        <v>56</v>
      </c>
      <c r="C23" s="52">
        <f>IF('Strategy comparison'!L18="",C7*D6,'Strategy comparison'!L18)</f>
        <v>0</v>
      </c>
      <c r="G23" s="36">
        <f>'Tax Tables'!B18</f>
        <v>0</v>
      </c>
      <c r="H23" s="43">
        <f>'Tax Tables'!C18</f>
        <v>98900</v>
      </c>
      <c r="I23" s="70">
        <f>'Tax Tables'!D18</f>
        <v>0</v>
      </c>
      <c r="J23" s="38">
        <f t="shared" ref="J23:L25" si="6">IF(J$22&gt;$H23,($H23-$G23)*$I23,MAX((J$22-$G23),0)*$I23)</f>
        <v>0</v>
      </c>
      <c r="K23" s="213">
        <f t="shared" si="6"/>
        <v>0</v>
      </c>
      <c r="L23" s="213">
        <f t="shared" si="6"/>
        <v>0</v>
      </c>
      <c r="M23" s="97"/>
      <c r="N23" s="34">
        <f>'Tax Tables'!F18</f>
        <v>0</v>
      </c>
      <c r="O23" s="44">
        <f>'Tax Tables'!G18</f>
        <v>49450</v>
      </c>
      <c r="P23" s="10">
        <f>'Tax Tables'!H18</f>
        <v>0</v>
      </c>
      <c r="Q23" s="38">
        <f>IF(Q$22&gt;$O23,($O23-$N23)*$P23,MAX((Q$22-$N23),0)*$P23)</f>
        <v>0</v>
      </c>
      <c r="R23" s="38">
        <f>IF(R$22&gt;$O23,($O23-$N23)*$P23,MAX((R$22-$N23),0)*$P23)</f>
        <v>0</v>
      </c>
      <c r="S23" s="38">
        <f>IF(S$22&gt;$O23,($O23-$N23)*$P23,MAX((S$22-$N23),0)*$P23)</f>
        <v>0</v>
      </c>
    </row>
    <row r="24" spans="2:21" ht="16" thickBot="1" x14ac:dyDescent="0.25">
      <c r="B24" s="27" t="s">
        <v>57</v>
      </c>
      <c r="C24" s="52">
        <f>IF('Strategy comparison'!L20="",C13*E6,'Strategy comparison'!L20)</f>
        <v>0</v>
      </c>
      <c r="G24" s="34">
        <f>'Tax Tables'!B19</f>
        <v>98901</v>
      </c>
      <c r="H24" s="44">
        <f>'Tax Tables'!C19</f>
        <v>613700</v>
      </c>
      <c r="I24" s="71">
        <f>'Tax Tables'!D19</f>
        <v>0.15</v>
      </c>
      <c r="J24" s="38">
        <f t="shared" si="6"/>
        <v>0</v>
      </c>
      <c r="K24" s="38">
        <f t="shared" si="6"/>
        <v>0</v>
      </c>
      <c r="L24" s="213">
        <f t="shared" si="6"/>
        <v>0</v>
      </c>
      <c r="M24" s="97"/>
      <c r="N24" s="34">
        <f>'Tax Tables'!F19</f>
        <v>49451</v>
      </c>
      <c r="O24" s="44">
        <f>'Tax Tables'!G19</f>
        <v>545500</v>
      </c>
      <c r="P24" s="10">
        <f>'Tax Tables'!H19</f>
        <v>0.15</v>
      </c>
      <c r="Q24" s="38">
        <f t="shared" ref="Q24:S25" si="7">IF(Q$22&gt;$O24,($O24-$N24)*$P24,MAX((Q$22-$N24),0)*$P24)</f>
        <v>0</v>
      </c>
      <c r="R24" s="38">
        <f t="shared" si="7"/>
        <v>0</v>
      </c>
      <c r="S24" s="38">
        <f t="shared" si="7"/>
        <v>0</v>
      </c>
    </row>
    <row r="25" spans="2:21" ht="16" thickBot="1" x14ac:dyDescent="0.25">
      <c r="B25" s="27" t="s">
        <v>112</v>
      </c>
      <c r="C25" s="52">
        <f>C12-C23</f>
        <v>400000</v>
      </c>
      <c r="G25" s="35">
        <f>'Tax Tables'!B20</f>
        <v>613701</v>
      </c>
      <c r="H25" s="45">
        <f>'Tax Tables'!C20</f>
        <v>99999999999</v>
      </c>
      <c r="I25" s="72">
        <f>'Tax Tables'!D20</f>
        <v>0.2</v>
      </c>
      <c r="J25" s="231">
        <f t="shared" si="6"/>
        <v>0</v>
      </c>
      <c r="K25" s="231">
        <f t="shared" si="6"/>
        <v>0</v>
      </c>
      <c r="L25" s="232">
        <f t="shared" si="6"/>
        <v>0</v>
      </c>
      <c r="M25" s="97"/>
      <c r="N25" s="35">
        <f>'Tax Tables'!F20</f>
        <v>545501</v>
      </c>
      <c r="O25" s="45">
        <f>'Tax Tables'!G20</f>
        <v>99999999999</v>
      </c>
      <c r="P25" s="13">
        <f>'Tax Tables'!H20</f>
        <v>0.2</v>
      </c>
      <c r="Q25" s="231">
        <f t="shared" si="7"/>
        <v>0</v>
      </c>
      <c r="R25" s="231">
        <f t="shared" si="7"/>
        <v>0</v>
      </c>
      <c r="S25" s="231">
        <f>IF(S$22&gt;$O25,($O25-$N25)*$P25,MAX((S$22-$N25),0)*$P25)</f>
        <v>0</v>
      </c>
    </row>
    <row r="26" spans="2:21" ht="16" thickBot="1" x14ac:dyDescent="0.25">
      <c r="B26" s="27" t="s">
        <v>59</v>
      </c>
      <c r="C26" s="52">
        <f>C13-C24</f>
        <v>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8"/>
      <c r="S26" s="97"/>
    </row>
    <row r="27" spans="2:21" ht="16" thickBot="1" x14ac:dyDescent="0.25">
      <c r="B27" s="27" t="s">
        <v>104</v>
      </c>
      <c r="C27" s="52">
        <f>C26+C10</f>
        <v>0</v>
      </c>
      <c r="G27" s="96"/>
      <c r="H27" s="97"/>
      <c r="I27" s="97"/>
      <c r="J27" s="422" t="s">
        <v>26</v>
      </c>
      <c r="K27" s="443"/>
      <c r="L27" s="423"/>
      <c r="M27" s="104" t="s">
        <v>38</v>
      </c>
      <c r="N27" s="97"/>
      <c r="O27" s="97"/>
      <c r="P27" s="97"/>
      <c r="Q27" s="422" t="s">
        <v>26</v>
      </c>
      <c r="R27" s="443"/>
      <c r="S27" s="423"/>
      <c r="T27" s="104" t="s">
        <v>38</v>
      </c>
      <c r="U27" s="97"/>
    </row>
    <row r="28" spans="2:21" ht="16" thickBot="1" x14ac:dyDescent="0.25">
      <c r="B28" s="27" t="s">
        <v>60</v>
      </c>
      <c r="C28" s="52">
        <f>IF(C5="Single",R17,IF(C5="Married-Joint",K17,"Filing Status?"))</f>
        <v>81195.419999999984</v>
      </c>
      <c r="G28" s="101"/>
      <c r="H28" s="100"/>
      <c r="I28" s="100"/>
      <c r="J28" s="122">
        <f>SUM(J23:J25)</f>
        <v>0</v>
      </c>
      <c r="K28" s="111">
        <f>SUM(K23:K25)</f>
        <v>0</v>
      </c>
      <c r="L28" s="111">
        <f>SUM(L23:L25)</f>
        <v>0</v>
      </c>
      <c r="M28" s="123">
        <f>J28-L28</f>
        <v>0</v>
      </c>
      <c r="N28" s="198"/>
      <c r="O28" s="100"/>
      <c r="P28" s="100"/>
      <c r="Q28" s="122">
        <f>SUM(Q23:Q25)</f>
        <v>0</v>
      </c>
      <c r="R28" s="111">
        <f>SUM(R23:R25)</f>
        <v>0</v>
      </c>
      <c r="S28" s="111">
        <f>SUM(S23:S25)</f>
        <v>0</v>
      </c>
      <c r="T28" s="124">
        <f>Q28-S28</f>
        <v>0</v>
      </c>
      <c r="U28" s="102"/>
    </row>
    <row r="29" spans="2:21" ht="16" thickBot="1" x14ac:dyDescent="0.25">
      <c r="B29" s="27" t="s">
        <v>42</v>
      </c>
      <c r="C29" s="56">
        <f>IF(C5="Single",R42,IF(C5="Married-Joint",K42,"Filing Status?"))</f>
        <v>12000</v>
      </c>
      <c r="M29" s="97"/>
    </row>
    <row r="30" spans="2:21" x14ac:dyDescent="0.2">
      <c r="B30" s="27" t="s">
        <v>61</v>
      </c>
      <c r="C30" s="56">
        <f>IF(C5="Single",R28,IF(C5="Married-Joint",K28,"Filing Status?"))</f>
        <v>0</v>
      </c>
      <c r="D30" s="6"/>
      <c r="G30" s="209" t="s">
        <v>107</v>
      </c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1"/>
      <c r="S30" s="202"/>
    </row>
    <row r="31" spans="2:21" ht="16" thickBot="1" x14ac:dyDescent="0.25">
      <c r="B31" s="27" t="s">
        <v>90</v>
      </c>
      <c r="C31" s="177">
        <f>J45</f>
        <v>0</v>
      </c>
      <c r="D31" s="6"/>
      <c r="E31" s="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97"/>
    </row>
    <row r="32" spans="2:21" ht="16" thickBot="1" x14ac:dyDescent="0.25">
      <c r="B32" s="27" t="s">
        <v>62</v>
      </c>
      <c r="C32" s="56"/>
      <c r="D32" s="6"/>
      <c r="G32" s="419" t="s">
        <v>17</v>
      </c>
      <c r="H32" s="420"/>
      <c r="I32" s="421"/>
      <c r="J32" s="7" t="s">
        <v>18</v>
      </c>
      <c r="K32" s="7" t="s">
        <v>66</v>
      </c>
      <c r="L32" s="7" t="s">
        <v>119</v>
      </c>
      <c r="M32" s="97"/>
      <c r="N32" s="419" t="s">
        <v>19</v>
      </c>
      <c r="O32" s="420"/>
      <c r="P32" s="421"/>
      <c r="Q32" s="7" t="s">
        <v>18</v>
      </c>
      <c r="R32" s="7" t="s">
        <v>50</v>
      </c>
      <c r="S32" s="7" t="s">
        <v>119</v>
      </c>
    </row>
    <row r="33" spans="2:21" ht="16" thickBot="1" x14ac:dyDescent="0.25">
      <c r="B33" s="27" t="s">
        <v>43</v>
      </c>
      <c r="C33" s="50">
        <f>SUM(C28:C32)</f>
        <v>93195.419999999984</v>
      </c>
      <c r="G33" s="9"/>
      <c r="J33" s="73">
        <f>C15</f>
        <v>400000</v>
      </c>
      <c r="K33" s="73">
        <f>J33-SUM(C7,C13)</f>
        <v>400000</v>
      </c>
      <c r="L33" s="69">
        <f>K33</f>
        <v>400000</v>
      </c>
      <c r="M33" s="97"/>
      <c r="N33" s="9"/>
      <c r="Q33" s="20">
        <f>J33</f>
        <v>400000</v>
      </c>
      <c r="R33" s="121">
        <f>K33</f>
        <v>400000</v>
      </c>
      <c r="S33" s="69">
        <f>L33</f>
        <v>400000</v>
      </c>
    </row>
    <row r="34" spans="2:21" ht="16" thickBot="1" x14ac:dyDescent="0.25">
      <c r="B34" s="26" t="s">
        <v>25</v>
      </c>
      <c r="C34" s="53">
        <f>C37/C15</f>
        <v>0.23298854999999996</v>
      </c>
      <c r="G34" s="60">
        <f>'Tax Tables'!B25</f>
        <v>0</v>
      </c>
      <c r="H34" s="65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38">
        <f>IF(IF(K$33&gt;$H34,($H34-$G34)*$I34,(K$33-$G34)*$I34)&gt;0,IF(K$33&gt;$H34,($H34-$G34)*$I34,(K$33-$G34)*$I34),0)</f>
        <v>12000</v>
      </c>
      <c r="L34" s="38">
        <f>IF(IF(L$33&gt;$H34,($H34-$G34)*$I34,(L$33-$G34)*$I34)&gt;0,IF(L$33&gt;$H34,($H34-$G34)*$I34,(L$33-$G34)*$I34),0)</f>
        <v>12000</v>
      </c>
      <c r="M34" s="97"/>
      <c r="N34" s="60">
        <f>'Tax Tables'!F25</f>
        <v>0</v>
      </c>
      <c r="O34" s="65">
        <f>'Tax Tables'!G25</f>
        <v>100000000</v>
      </c>
      <c r="P34" s="66">
        <f>'Tax Tables'!H25</f>
        <v>0.03</v>
      </c>
      <c r="Q34" s="36">
        <f>IF(IF(Q$33&gt;O34,(O34-N34)*P34,(Q$33-N34)*P34)&gt;0,IF(Q$33&gt;O34,(O34-N34)*P34,(Q$33-N34)*P34),0)</f>
        <v>12000</v>
      </c>
      <c r="R34" s="38">
        <f>IF(IF(R$33&gt;$O34,($O34-$N34)*$P34,(R$33-$N34)*$P34)&gt;0,IF(R$33&gt;$O34,($O34-$N34)*$P34,(R$33-$N34)*$P34),0)</f>
        <v>12000</v>
      </c>
      <c r="S34" s="38">
        <f>IF(IF(S$33&gt;$O34,($O34-$N34)*$P34,(S$33-$N34)*$P34)&gt;0,IF(S$33&gt;$O34,($O34-$N34)*$P34,(S$33-$N34)*$P34),0)</f>
        <v>12000</v>
      </c>
    </row>
    <row r="35" spans="2:21" ht="16" thickBot="1" x14ac:dyDescent="0.25">
      <c r="B35" s="27" t="s">
        <v>114</v>
      </c>
      <c r="C35" s="52">
        <f>C20</f>
        <v>93195.419999999984</v>
      </c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>IF(IF(K$33&gt;H35,(H35-G35)*I35,(K$33-G35)*I35)&gt;0,IF(K$33&gt;H35,(H35-G35)*I35,(K$33-G35)*I35),0)</f>
        <v>0</v>
      </c>
      <c r="L35" s="11"/>
      <c r="M35" s="97"/>
      <c r="N35" s="60">
        <f>'Tax Tables'!F26</f>
        <v>0</v>
      </c>
      <c r="O35" s="65">
        <f>'Tax Tables'!G26</f>
        <v>0</v>
      </c>
      <c r="P35" s="29">
        <f>'Tax Tables'!H26</f>
        <v>0</v>
      </c>
      <c r="Q35" s="34">
        <f>IF(IF(Q$33&gt;O35,(O35-N35)*P35,(Q$33-N35)*P35)&gt;0,IF(Q$33&gt;O35,(O35-N35)*P35,(Q$33-N35)*P35),0)</f>
        <v>0</v>
      </c>
      <c r="R35" s="11">
        <f>IF(IF(R$33&gt;O35,(O35-N35)*P35,(R$33-N35)*P35)&gt;0,IF(R$33&gt;O35,(O35-N35)*P35,(R$33-N35)*P35),0)</f>
        <v>0</v>
      </c>
      <c r="S35" s="38">
        <f>IF(IF(S$33&gt;$O35,($O35-$N35)*$P35,(S$33-$N35)*$P35)&gt;0,IF(S$33&gt;$O35,($O35-$N35)*$P35,(S$33-$N35)*$P35),0)</f>
        <v>0</v>
      </c>
    </row>
    <row r="36" spans="2:21" ht="16" thickBot="1" x14ac:dyDescent="0.25">
      <c r="B36" s="47" t="s">
        <v>45</v>
      </c>
      <c r="C36" s="64">
        <f>D18+E18</f>
        <v>0</v>
      </c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>IF(IF(K$33&gt;H36,(H36-G36)*I36,(K$33-G36)*I36)&gt;0,IF(K$33&gt;H36,(H36-G36)*I36,(K$33-G36)*I36),0)</f>
        <v>0</v>
      </c>
      <c r="L36" s="11"/>
      <c r="M36" s="97"/>
      <c r="N36" s="60">
        <f>'Tax Tables'!F27</f>
        <v>0</v>
      </c>
      <c r="O36" s="65">
        <f>'Tax Tables'!G27</f>
        <v>0</v>
      </c>
      <c r="P36" s="29">
        <f>'Tax Tables'!H27</f>
        <v>0</v>
      </c>
      <c r="Q36" s="34">
        <f>IF(IF(Q$33&gt;O36,(O36-N36)*P36,(Q$33-N36)*P36)&gt;0,IF(Q$33&gt;O36,(O36-N36)*P36,(Q$33-N36)*P36),0)</f>
        <v>0</v>
      </c>
      <c r="R36" s="11">
        <f>IF(IF(R$33&gt;O36,(O36-N36)*P36,(R$33-N36)*P36)&gt;0,IF(R$33&gt;O36,(O36-N36)*P36,(R$33-N36)*P36),0)</f>
        <v>0</v>
      </c>
      <c r="S36" s="38">
        <f>IF(IF(S$33&gt;$O36,($O36-$N36)*$P36,(S$33-$N36)*$P36)&gt;0,IF(S$33&gt;$O36,($O36-$N36)*$P36,(S$33-$N36)*$P36),0)</f>
        <v>0</v>
      </c>
    </row>
    <row r="37" spans="2:21" ht="16" thickBot="1" x14ac:dyDescent="0.25">
      <c r="B37" s="84" t="s">
        <v>11</v>
      </c>
      <c r="C37" s="126">
        <f>C36+C33+C39</f>
        <v>93195.419999999984</v>
      </c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>IF(IF(K$33&gt;H37,(H37-G37)*I37,(K$33-G37)*I37)&gt;0,IF(K$33&gt;H37,(H37-G37)*I37,(K$33-G37)*I37),0)</f>
        <v>0</v>
      </c>
      <c r="L37" s="11"/>
      <c r="M37" s="97"/>
      <c r="N37" s="60">
        <f>'Tax Tables'!F28</f>
        <v>0</v>
      </c>
      <c r="O37" s="65">
        <f>'Tax Tables'!G28</f>
        <v>0</v>
      </c>
      <c r="P37" s="29">
        <f>'Tax Tables'!H28</f>
        <v>0</v>
      </c>
      <c r="Q37" s="34">
        <f>IF(IF(Q$33&gt;O37,(O37-N37)*P37,(Q$33-N37)*P37)&gt;0,IF(Q$33&gt;O37,(O37-N37)*P37,(Q$33-N37)*P37),0)</f>
        <v>0</v>
      </c>
      <c r="R37" s="11">
        <f>IF(IF(R$33&gt;O37,(O37-N37)*P37,(R$33-N37)*P37)&gt;0,IF(R$33&gt;O37,(O37-N37)*P37,(R$33-N37)*P37),0)</f>
        <v>0</v>
      </c>
      <c r="S37" s="38">
        <f>IF(IF(S$33&gt;$O37,($O37-$N37)*$P37,(S$33-$N37)*$P37)&gt;0,IF(S$33&gt;$O37,($O37-$N37)*$P37,(S$33-$N37)*$P37),0)</f>
        <v>0</v>
      </c>
    </row>
    <row r="38" spans="2:21" ht="16" thickBot="1" x14ac:dyDescent="0.25">
      <c r="B38" s="24" t="s">
        <v>64</v>
      </c>
      <c r="C38" s="54">
        <f>C35-C37</f>
        <v>0</v>
      </c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>IF(IF(K$33&gt;H38,(H38-G38)*I38,(K$33-G38)*I38)&gt;0,IF(K$33&gt;H38,(H38-G38)*I38,(K$33-G38)*I38),0)</f>
        <v>0</v>
      </c>
      <c r="L38" s="11"/>
      <c r="M38" s="97"/>
      <c r="N38" s="60">
        <f>'Tax Tables'!F29</f>
        <v>0</v>
      </c>
      <c r="O38" s="65">
        <f>'Tax Tables'!G29</f>
        <v>0</v>
      </c>
      <c r="P38" s="29">
        <f>'Tax Tables'!H29</f>
        <v>0</v>
      </c>
      <c r="Q38" s="34">
        <f>IF(IF(Q$33&gt;O38,(O38-N38)*P38,(Q$33-N38)*P38)&gt;0,IF(Q$33&gt;O38,(O38-N38)*P38,(Q$33-N38)*P38),0)</f>
        <v>0</v>
      </c>
      <c r="R38" s="11">
        <f>IF(IF(R$33&gt;O38,(O38-N38)*P38,(R$33-N38)*P38)&gt;0,IF(R$33&gt;O38,(O38-N38)*P38,(R$33-N38)*P38),0)</f>
        <v>0</v>
      </c>
      <c r="S38" s="231">
        <f>IF(IF(S$33&gt;$O38,($O38-$N38)*$P38,(S$33-$N38)*$P38)&gt;0,IF(S$33&gt;$O38,($O38-$N38)*$P38,(S$33-$N38)*$P38),0)</f>
        <v>0</v>
      </c>
    </row>
    <row r="39" spans="2:21" ht="16" thickBot="1" x14ac:dyDescent="0.25">
      <c r="B39" s="24" t="s">
        <v>65</v>
      </c>
      <c r="C39" s="128">
        <f>SUM(D20:E20)</f>
        <v>0</v>
      </c>
      <c r="G39" s="15"/>
      <c r="H39" s="12"/>
      <c r="I39" s="41"/>
      <c r="J39" s="35"/>
      <c r="K39" s="14"/>
      <c r="L39" s="14"/>
      <c r="M39" s="97"/>
      <c r="N39" s="15"/>
      <c r="O39" s="12"/>
      <c r="P39" s="22"/>
      <c r="Q39" s="14"/>
      <c r="R39" s="14"/>
      <c r="S39" s="231"/>
    </row>
    <row r="40" spans="2:21" ht="16" thickBot="1" x14ac:dyDescent="0.25">
      <c r="B40" s="84" t="s">
        <v>120</v>
      </c>
      <c r="C40" s="126">
        <f>C38+C39</f>
        <v>0</v>
      </c>
      <c r="F40" s="4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8"/>
      <c r="S40" s="97"/>
    </row>
    <row r="41" spans="2:21" ht="16" thickBot="1" x14ac:dyDescent="0.25">
      <c r="G41" s="96"/>
      <c r="H41" s="97"/>
      <c r="I41" s="97"/>
      <c r="J41" s="422" t="s">
        <v>26</v>
      </c>
      <c r="K41" s="443"/>
      <c r="L41" s="423"/>
      <c r="M41" s="125" t="s">
        <v>38</v>
      </c>
      <c r="N41" s="196"/>
      <c r="O41" s="97"/>
      <c r="P41" s="97"/>
      <c r="Q41" s="422" t="s">
        <v>26</v>
      </c>
      <c r="R41" s="443"/>
      <c r="S41" s="423"/>
      <c r="T41" s="125" t="s">
        <v>38</v>
      </c>
      <c r="U41" s="196"/>
    </row>
    <row r="42" spans="2:21" ht="16" thickBot="1" x14ac:dyDescent="0.25">
      <c r="D42" s="4"/>
      <c r="E42" s="4"/>
      <c r="G42" s="101"/>
      <c r="H42" s="100"/>
      <c r="I42" s="100"/>
      <c r="J42" s="106">
        <f>SUM(J34:J39)</f>
        <v>12000</v>
      </c>
      <c r="K42" s="106">
        <f>SUM(K34:K39)</f>
        <v>12000</v>
      </c>
      <c r="L42" s="106">
        <f>SUM(L34:L39)</f>
        <v>12000</v>
      </c>
      <c r="M42" s="107">
        <f>J42-L42</f>
        <v>0</v>
      </c>
      <c r="N42" s="197"/>
      <c r="O42" s="100"/>
      <c r="P42" s="100"/>
      <c r="Q42" s="106">
        <f>SUM(Q34:Q39)</f>
        <v>12000</v>
      </c>
      <c r="R42" s="106">
        <f>SUM(R34:R39)</f>
        <v>12000</v>
      </c>
      <c r="S42" s="106">
        <f>SUM(S34:S39)</f>
        <v>12000</v>
      </c>
      <c r="T42" s="107">
        <f>Q42-S42</f>
        <v>0</v>
      </c>
      <c r="U42" s="200"/>
    </row>
    <row r="43" spans="2:21" ht="16" thickBot="1" x14ac:dyDescent="0.25">
      <c r="B43" s="74"/>
      <c r="C43" s="75"/>
      <c r="D43" s="57" t="s">
        <v>29</v>
      </c>
    </row>
    <row r="44" spans="2:21" ht="16" thickBot="1" x14ac:dyDescent="0.25">
      <c r="B44" s="27" t="s">
        <v>13</v>
      </c>
      <c r="C44" s="148" t="str">
        <f>'Strategy comparison'!C4</f>
        <v>Married-Joint</v>
      </c>
      <c r="D44" s="58" t="s">
        <v>0</v>
      </c>
      <c r="I44" s="181" t="s">
        <v>196</v>
      </c>
      <c r="J44" s="175">
        <f>'Tax Tables'!$C$34</f>
        <v>3.7999999999999999E-2</v>
      </c>
    </row>
    <row r="45" spans="2:21" ht="16" thickBot="1" x14ac:dyDescent="0.25">
      <c r="B45" s="27" t="s">
        <v>14</v>
      </c>
      <c r="C45" s="212">
        <f>'Strategy comparison'!C5</f>
        <v>400000</v>
      </c>
      <c r="D45" s="42">
        <v>0.5</v>
      </c>
      <c r="I45" s="174">
        <f>SUM(C8:C11)</f>
        <v>0</v>
      </c>
      <c r="J45" s="137">
        <f>IF(C15-C23-C24-C61-IF(C5="Married-Joint",250000,200000)&gt;I45,(C15-C23-C24-C61-IF(C5="Married-Joint",250000,200000))*J44, I45*J44)</f>
        <v>0</v>
      </c>
    </row>
    <row r="46" spans="2:21" ht="16" thickBot="1" x14ac:dyDescent="0.25">
      <c r="B46" s="27" t="s">
        <v>15</v>
      </c>
      <c r="C46" s="212">
        <f>'Strategy comparison'!C6-'DB comparison'!C2</f>
        <v>0</v>
      </c>
      <c r="D46" s="61"/>
      <c r="F46" s="1"/>
    </row>
    <row r="47" spans="2:21" ht="16" thickBot="1" x14ac:dyDescent="0.25">
      <c r="B47" s="27" t="s">
        <v>16</v>
      </c>
      <c r="C47" s="212">
        <f>'Strategy comparison'!C7</f>
        <v>0</v>
      </c>
      <c r="D47" s="62" t="s">
        <v>72</v>
      </c>
      <c r="F47" s="23"/>
    </row>
    <row r="48" spans="2:21" ht="16" thickBot="1" x14ac:dyDescent="0.25">
      <c r="B48" s="27" t="s">
        <v>96</v>
      </c>
      <c r="C48" s="212">
        <f>'Strategy comparison'!C9</f>
        <v>0</v>
      </c>
      <c r="D48" s="63">
        <v>5</v>
      </c>
      <c r="E48" s="1"/>
    </row>
    <row r="49" spans="2:5" ht="16" thickBot="1" x14ac:dyDescent="0.25">
      <c r="B49" s="27" t="s">
        <v>98</v>
      </c>
      <c r="C49" s="212">
        <f>'Strategy comparison'!C10</f>
        <v>0</v>
      </c>
      <c r="D49" s="2" t="s">
        <v>32</v>
      </c>
      <c r="E49" s="23"/>
    </row>
    <row r="50" spans="2:5" ht="16" thickBot="1" x14ac:dyDescent="0.25">
      <c r="B50" s="27" t="s">
        <v>97</v>
      </c>
      <c r="C50" s="212">
        <f>'Strategy comparison'!C11</f>
        <v>0</v>
      </c>
      <c r="D50" s="3" t="s">
        <v>34</v>
      </c>
    </row>
    <row r="51" spans="2:5" ht="16" thickBot="1" x14ac:dyDescent="0.25">
      <c r="B51" s="27" t="s">
        <v>100</v>
      </c>
      <c r="C51" s="212">
        <f>SUM(C45:C48)+C50</f>
        <v>400000</v>
      </c>
      <c r="D51" s="5">
        <f>C61/D48</f>
        <v>40000</v>
      </c>
    </row>
    <row r="52" spans="2:5" ht="16" thickBot="1" x14ac:dyDescent="0.25">
      <c r="B52" s="27" t="s">
        <v>20</v>
      </c>
      <c r="C52" s="212">
        <f>'Strategy comparison'!C8</f>
        <v>0</v>
      </c>
      <c r="D52" s="3" t="s">
        <v>35</v>
      </c>
    </row>
    <row r="53" spans="2:5" ht="16" thickBot="1" x14ac:dyDescent="0.25">
      <c r="B53" s="27" t="s">
        <v>102</v>
      </c>
      <c r="C53" s="49">
        <f>C52+C49</f>
        <v>0</v>
      </c>
      <c r="D53" s="147">
        <v>0</v>
      </c>
    </row>
    <row r="54" spans="2:5" x14ac:dyDescent="0.2">
      <c r="B54" s="27" t="s">
        <v>18</v>
      </c>
      <c r="C54" s="49">
        <f>C51+C53</f>
        <v>400000</v>
      </c>
      <c r="D54" s="68" t="s">
        <v>36</v>
      </c>
    </row>
    <row r="55" spans="2:5" ht="16" thickBot="1" x14ac:dyDescent="0.25">
      <c r="B55" s="28" t="s">
        <v>21</v>
      </c>
      <c r="C55" s="49">
        <f>IF(C44="Single",R17,IF(C44="Married-Joint",K17,"Filing Status?"))</f>
        <v>81195.419999999984</v>
      </c>
      <c r="D55" s="129">
        <f>D51*(1-D53)</f>
        <v>40000</v>
      </c>
    </row>
    <row r="56" spans="2:5" x14ac:dyDescent="0.2">
      <c r="B56" s="28" t="s">
        <v>124</v>
      </c>
      <c r="C56" s="49">
        <f>IF(C44="Single",R28,IF(C44="Married-Joint",K28,"Filing Status?"))</f>
        <v>0</v>
      </c>
      <c r="D56" s="68" t="s">
        <v>7</v>
      </c>
    </row>
    <row r="57" spans="2:5" ht="16" thickBot="1" x14ac:dyDescent="0.25">
      <c r="B57" s="28" t="s">
        <v>22</v>
      </c>
      <c r="C57" s="52">
        <f>IF(C44="Single",R42,IF(C44="Married-Joint",K42,"Filing Status?"))</f>
        <v>12000</v>
      </c>
      <c r="D57" s="90">
        <v>0</v>
      </c>
    </row>
    <row r="58" spans="2:5" x14ac:dyDescent="0.2">
      <c r="B58" s="27" t="s">
        <v>24</v>
      </c>
      <c r="C58" s="50">
        <f>SUM(C55:C57)+J45</f>
        <v>93195.419999999984</v>
      </c>
      <c r="D58" s="3" t="s">
        <v>40</v>
      </c>
    </row>
    <row r="59" spans="2:5" ht="16" thickBot="1" x14ac:dyDescent="0.25">
      <c r="B59" s="26" t="s">
        <v>25</v>
      </c>
      <c r="C59" s="59">
        <f>C58/SUM(C51:C52)</f>
        <v>0.23298854999999996</v>
      </c>
      <c r="D59" s="5">
        <f>SUM(D55,D57)</f>
        <v>40000</v>
      </c>
    </row>
    <row r="60" spans="2:5" x14ac:dyDescent="0.2">
      <c r="B60" s="26"/>
      <c r="C60" s="55"/>
    </row>
    <row r="61" spans="2:5" x14ac:dyDescent="0.2">
      <c r="B61" s="26" t="s">
        <v>37</v>
      </c>
      <c r="C61" s="51">
        <f>IF('Strategy comparison'!L22="",IF(C44="Married-Joint", (K7+K22),IF(C44="Single",(R7+R22),"Filing Status?"))*D45,'Strategy comparison'!L22)</f>
        <v>200000</v>
      </c>
    </row>
    <row r="62" spans="2:5" x14ac:dyDescent="0.2">
      <c r="B62" s="26" t="s">
        <v>39</v>
      </c>
      <c r="C62" s="51">
        <f>C61*(1/D45)*(1-D45)</f>
        <v>200000</v>
      </c>
    </row>
    <row r="63" spans="2:5" x14ac:dyDescent="0.2">
      <c r="B63" s="27" t="s">
        <v>41</v>
      </c>
      <c r="C63" s="52">
        <f>IF(C44="Single",S17,IF(C44="Married-Joint",L17,"Filing Status?"))</f>
        <v>33423.659999999996</v>
      </c>
    </row>
    <row r="64" spans="2:5" x14ac:dyDescent="0.2">
      <c r="B64" s="27" t="s">
        <v>42</v>
      </c>
      <c r="C64" s="56">
        <f>IF(C44="Single",S42,IF(C44="Married-Joint",L42,"Filing Status?"))</f>
        <v>12000</v>
      </c>
    </row>
    <row r="65" spans="2:4" x14ac:dyDescent="0.2">
      <c r="B65" s="27" t="s">
        <v>128</v>
      </c>
      <c r="C65" s="56">
        <f>IF(C44="Single",S28,IF(C44="Married-Joint",L28,"Filing Status?"))</f>
        <v>0</v>
      </c>
    </row>
    <row r="66" spans="2:4" x14ac:dyDescent="0.2">
      <c r="B66" s="27" t="s">
        <v>90</v>
      </c>
      <c r="C66" s="177">
        <f>J45</f>
        <v>0</v>
      </c>
      <c r="D66" s="6"/>
    </row>
    <row r="67" spans="2:4" x14ac:dyDescent="0.2">
      <c r="B67" s="27" t="s">
        <v>43</v>
      </c>
      <c r="C67" s="50">
        <f>SUM(C63:C66)</f>
        <v>45423.659999999996</v>
      </c>
      <c r="D67" s="6"/>
    </row>
    <row r="68" spans="2:4" x14ac:dyDescent="0.2">
      <c r="B68" s="26" t="s">
        <v>25</v>
      </c>
      <c r="C68" s="53">
        <f>(C67+C70)/C54</f>
        <v>0.21355915</v>
      </c>
      <c r="D68" s="6"/>
    </row>
    <row r="69" spans="2:4" x14ac:dyDescent="0.2">
      <c r="B69" s="27" t="s">
        <v>44</v>
      </c>
      <c r="C69" s="52">
        <f>C58-C67</f>
        <v>47771.759999999987</v>
      </c>
      <c r="D69" s="6"/>
    </row>
    <row r="70" spans="2:4" x14ac:dyDescent="0.2">
      <c r="B70" s="47" t="s">
        <v>45</v>
      </c>
      <c r="C70" s="64">
        <f>D59</f>
        <v>40000</v>
      </c>
    </row>
    <row r="71" spans="2:4" ht="16" thickBot="1" x14ac:dyDescent="0.25">
      <c r="B71" s="24" t="s">
        <v>46</v>
      </c>
      <c r="C71" s="54">
        <f>C69-C70</f>
        <v>7771.7599999999875</v>
      </c>
      <c r="D71" s="4"/>
    </row>
    <row r="73" spans="2:4" ht="16" thickBot="1" x14ac:dyDescent="0.25"/>
    <row r="74" spans="2:4" x14ac:dyDescent="0.2">
      <c r="B74" s="459" t="s">
        <v>92</v>
      </c>
      <c r="C74" s="460"/>
    </row>
    <row r="75" spans="2:4" x14ac:dyDescent="0.2">
      <c r="B75" s="9" t="s">
        <v>125</v>
      </c>
      <c r="C75" s="135">
        <f>'No planning'!C23</f>
        <v>98895.419999999984</v>
      </c>
    </row>
    <row r="76" spans="2:4" x14ac:dyDescent="0.2">
      <c r="B76" s="9" t="s">
        <v>126</v>
      </c>
      <c r="C76" s="135">
        <f>C33</f>
        <v>93195.419999999984</v>
      </c>
    </row>
    <row r="77" spans="2:4" x14ac:dyDescent="0.2">
      <c r="B77" s="9" t="s">
        <v>127</v>
      </c>
      <c r="C77" s="135">
        <f>C67</f>
        <v>45423.659999999996</v>
      </c>
    </row>
    <row r="78" spans="2:4" x14ac:dyDescent="0.2">
      <c r="B78" s="9" t="s">
        <v>129</v>
      </c>
      <c r="C78" s="135">
        <f>D59+D12+E12+D14+E14+D16</f>
        <v>40000</v>
      </c>
    </row>
    <row r="79" spans="2:4" x14ac:dyDescent="0.2">
      <c r="B79" s="9" t="s">
        <v>65</v>
      </c>
      <c r="C79" s="135">
        <f>D20+E20</f>
        <v>0</v>
      </c>
    </row>
    <row r="80" spans="2:4" x14ac:dyDescent="0.2">
      <c r="B80" s="9" t="s">
        <v>64</v>
      </c>
      <c r="C80" s="135">
        <f>C75-C77-C78-C79</f>
        <v>13471.759999999987</v>
      </c>
    </row>
    <row r="81" spans="2:3" x14ac:dyDescent="0.2">
      <c r="B81" s="9" t="s">
        <v>120</v>
      </c>
      <c r="C81" s="135">
        <f>C80+C79</f>
        <v>13471.759999999987</v>
      </c>
    </row>
    <row r="82" spans="2:3" ht="16" thickBot="1" x14ac:dyDescent="0.25">
      <c r="B82" s="15" t="s">
        <v>25</v>
      </c>
      <c r="C82" s="216">
        <f>SUM(C77:C78)/C15</f>
        <v>0.21355915</v>
      </c>
    </row>
  </sheetData>
  <mergeCells count="16">
    <mergeCell ref="B1:E1"/>
    <mergeCell ref="G6:I6"/>
    <mergeCell ref="N6:P6"/>
    <mergeCell ref="D15:E15"/>
    <mergeCell ref="D16:E16"/>
    <mergeCell ref="B74:C74"/>
    <mergeCell ref="G32:I32"/>
    <mergeCell ref="N32:P32"/>
    <mergeCell ref="J16:L16"/>
    <mergeCell ref="Q16:S16"/>
    <mergeCell ref="J27:L27"/>
    <mergeCell ref="Q27:S27"/>
    <mergeCell ref="J41:L41"/>
    <mergeCell ref="Q41:S41"/>
    <mergeCell ref="G21:I21"/>
    <mergeCell ref="N21:P2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8107-1E72-EA4F-9424-AEA9A6DB05AC}">
  <dimension ref="B1:U82"/>
  <sheetViews>
    <sheetView topLeftCell="A26" zoomScaleNormal="100" workbookViewId="0">
      <selection activeCell="C66" sqref="C66"/>
    </sheetView>
  </sheetViews>
  <sheetFormatPr baseColWidth="10" defaultColWidth="8.83203125" defaultRowHeight="15" x14ac:dyDescent="0.2"/>
  <cols>
    <col min="1" max="1" width="5.33203125" customWidth="1"/>
    <col min="2" max="2" width="28.33203125" bestFit="1" customWidth="1"/>
    <col min="3" max="3" width="19.83203125" customWidth="1"/>
    <col min="4" max="4" width="21.33203125" customWidth="1"/>
    <col min="5" max="5" width="19.6640625" bestFit="1" customWidth="1"/>
    <col min="6" max="6" width="19.5" customWidth="1"/>
    <col min="7" max="7" width="12.6640625" bestFit="1" customWidth="1"/>
    <col min="8" max="8" width="18.83203125" bestFit="1" customWidth="1"/>
    <col min="9" max="9" width="14.1640625" bestFit="1" customWidth="1"/>
    <col min="10" max="10" width="19.1640625" customWidth="1"/>
    <col min="11" max="11" width="17.33203125" bestFit="1" customWidth="1"/>
    <col min="12" max="12" width="17.33203125" customWidth="1"/>
    <col min="13" max="13" width="13.1640625" customWidth="1"/>
    <col min="14" max="14" width="12.6640625" bestFit="1" customWidth="1"/>
    <col min="15" max="15" width="18.83203125" bestFit="1" customWidth="1"/>
    <col min="16" max="16" width="12.6640625" bestFit="1" customWidth="1"/>
    <col min="17" max="17" width="13.5" bestFit="1" customWidth="1"/>
    <col min="18" max="18" width="15.5" customWidth="1"/>
    <col min="19" max="19" width="19.6640625" customWidth="1"/>
    <col min="20" max="20" width="12.5" bestFit="1" customWidth="1"/>
    <col min="23" max="24" width="13" bestFit="1" customWidth="1"/>
    <col min="26" max="27" width="14.6640625" bestFit="1" customWidth="1"/>
  </cols>
  <sheetData>
    <row r="1" spans="2:21" ht="27" thickBot="1" x14ac:dyDescent="0.35">
      <c r="B1" s="456" t="s">
        <v>47</v>
      </c>
      <c r="C1" s="457"/>
      <c r="D1" s="457"/>
      <c r="E1" s="458"/>
    </row>
    <row r="3" spans="2:21" ht="16" thickBot="1" x14ac:dyDescent="0.25"/>
    <row r="4" spans="2:21" ht="16" thickBot="1" x14ac:dyDescent="0.25">
      <c r="B4" s="48"/>
      <c r="C4" s="25"/>
      <c r="D4" s="57" t="s">
        <v>3</v>
      </c>
      <c r="E4" s="57" t="s">
        <v>3</v>
      </c>
      <c r="F4" s="78"/>
      <c r="G4" s="203" t="s">
        <v>106</v>
      </c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9"/>
    </row>
    <row r="5" spans="2:21" ht="16" thickBot="1" x14ac:dyDescent="0.25">
      <c r="B5" s="27" t="s">
        <v>13</v>
      </c>
      <c r="C5" s="76" t="str">
        <f>'Strategy comparison'!C4</f>
        <v>Married-Joint</v>
      </c>
      <c r="D5" s="58" t="s">
        <v>0</v>
      </c>
      <c r="E5" s="58" t="s">
        <v>5</v>
      </c>
      <c r="F5" s="85"/>
      <c r="G5" s="96"/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97"/>
    </row>
    <row r="6" spans="2:21" ht="16" thickBot="1" x14ac:dyDescent="0.25">
      <c r="B6" s="28" t="s">
        <v>14</v>
      </c>
      <c r="C6" s="49">
        <f>'Strategy comparison'!C5</f>
        <v>400000</v>
      </c>
      <c r="D6" s="42">
        <v>1</v>
      </c>
      <c r="E6" s="42">
        <v>1</v>
      </c>
      <c r="F6" s="71"/>
      <c r="G6" s="419" t="s">
        <v>17</v>
      </c>
      <c r="H6" s="420"/>
      <c r="I6" s="421"/>
      <c r="J6" s="7" t="s">
        <v>121</v>
      </c>
      <c r="K6" s="7" t="s">
        <v>122</v>
      </c>
      <c r="L6" s="7" t="s">
        <v>123</v>
      </c>
      <c r="M6" s="97"/>
      <c r="N6" s="419" t="s">
        <v>19</v>
      </c>
      <c r="O6" s="420"/>
      <c r="P6" s="421"/>
      <c r="Q6" s="7" t="s">
        <v>121</v>
      </c>
      <c r="R6" s="7" t="s">
        <v>122</v>
      </c>
      <c r="S6" s="7" t="s">
        <v>123</v>
      </c>
    </row>
    <row r="7" spans="2:21" ht="16" thickBot="1" x14ac:dyDescent="0.25">
      <c r="B7" s="28" t="s">
        <v>15</v>
      </c>
      <c r="C7" s="49">
        <f>'Strategy comparison'!C6-'DB comparison'!C2</f>
        <v>0</v>
      </c>
      <c r="D7" s="61" t="s">
        <v>48</v>
      </c>
      <c r="E7" s="61" t="s">
        <v>48</v>
      </c>
      <c r="F7" s="86"/>
      <c r="G7" s="30"/>
      <c r="H7" s="31"/>
      <c r="I7" s="32"/>
      <c r="J7" s="69">
        <f>C12</f>
        <v>400000</v>
      </c>
      <c r="K7" s="69">
        <f>C12-C23</f>
        <v>400000</v>
      </c>
      <c r="L7" s="230">
        <f>K7-MIN(K7,C61)</f>
        <v>200000</v>
      </c>
      <c r="M7" s="97"/>
      <c r="N7" s="30"/>
      <c r="O7" s="31"/>
      <c r="P7" s="32"/>
      <c r="Q7" s="39">
        <f>J7</f>
        <v>400000</v>
      </c>
      <c r="R7" s="33">
        <f>K7</f>
        <v>400000</v>
      </c>
      <c r="S7" s="230">
        <f>L7</f>
        <v>200000</v>
      </c>
    </row>
    <row r="8" spans="2:21" ht="16" thickBot="1" x14ac:dyDescent="0.25">
      <c r="B8" s="28" t="s">
        <v>49</v>
      </c>
      <c r="C8" s="49">
        <f>'Strategy comparison'!C7</f>
        <v>0</v>
      </c>
      <c r="D8" s="62" t="s">
        <v>30</v>
      </c>
      <c r="E8" s="62" t="s">
        <v>30</v>
      </c>
      <c r="F8" s="86"/>
      <c r="G8" s="36">
        <f>'Tax Tables'!B6</f>
        <v>0</v>
      </c>
      <c r="H8" s="43">
        <f>'Tax Tables'!C6</f>
        <v>24800</v>
      </c>
      <c r="I8" s="37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38">
        <f>IF(IF(L$7&gt;H8,(H8-G8)*I8,(L$7-G8)*I8)&gt;0,IF(L$7&gt;H8,(H8-G8)*I8,(L$7-G8)*I8),0)</f>
        <v>2480</v>
      </c>
      <c r="M8" s="97"/>
      <c r="N8" s="34">
        <f>'Tax Tables'!F6</f>
        <v>0</v>
      </c>
      <c r="O8" s="44">
        <f>'Tax Tables'!G6</f>
        <v>12400</v>
      </c>
      <c r="P8" s="10">
        <f>'Tax Tables'!H6</f>
        <v>0.1</v>
      </c>
      <c r="Q8" s="38">
        <f t="shared" ref="Q8:Q13" si="2">IF(IF(Q$7&gt;O8,(O8-N8)*P8,(Q$7-N8)*P8)&gt;0,IF(Q$7&gt;O8,(O8-N8)*P8,(Q$7-N8)*P8),0)</f>
        <v>1240</v>
      </c>
      <c r="R8" s="38">
        <f t="shared" ref="R8:R13" si="3">IF(IF(R$7&gt;O8,(O8-N8)*P8,(R$7-N8)*P8)&gt;0,IF(R$7&gt;O8,(O8-N8)*P8,(R$7-N8)*P8),0)</f>
        <v>1240</v>
      </c>
      <c r="S8" s="38">
        <f>IF(IF(S$7&gt;O8,(O8-N8)*P8,(S$7-N8)*P8)&gt;0,IF(S$7&gt;O8,(O8-N8)*P8,(S$7-N8)*P8),0)</f>
        <v>1240</v>
      </c>
    </row>
    <row r="9" spans="2:21" ht="16" thickBot="1" x14ac:dyDescent="0.25">
      <c r="B9" s="27" t="s">
        <v>96</v>
      </c>
      <c r="C9" s="49">
        <f>'Strategy comparison'!C9</f>
        <v>0</v>
      </c>
      <c r="D9" s="63">
        <v>8</v>
      </c>
      <c r="E9" s="63">
        <v>10</v>
      </c>
      <c r="F9" s="1"/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38">
        <f t="shared" ref="L9:L14" si="4">IF(IF(L$7&gt;H9,(H9-G9)*I9,(L$7-G9)*I9)&gt;0,IF(L$7&gt;H9,(H9-G9)*I9,(L$7-G9)*I9),0)</f>
        <v>9119.8799999999992</v>
      </c>
      <c r="M9" s="97"/>
      <c r="N9" s="34">
        <f>'Tax Tables'!F7</f>
        <v>12401</v>
      </c>
      <c r="O9" s="44">
        <f>'Tax Tables'!G7</f>
        <v>50400</v>
      </c>
      <c r="P9" s="10">
        <f>'Tax Tables'!H7</f>
        <v>0.12</v>
      </c>
      <c r="Q9" s="11">
        <f t="shared" si="2"/>
        <v>4559.88</v>
      </c>
      <c r="R9" s="11">
        <f t="shared" si="3"/>
        <v>4559.88</v>
      </c>
      <c r="S9" s="38">
        <f t="shared" ref="S9:S14" si="5">IF(IF(S$7&gt;O9,(O9-N9)*P9,(S$7-N9)*P9)&gt;0,IF(S$7&gt;O9,(O9-N9)*P9,(S$7-N9)*P9),0)</f>
        <v>4559.88</v>
      </c>
    </row>
    <row r="10" spans="2:21" ht="16" thickBot="1" x14ac:dyDescent="0.25">
      <c r="B10" s="27" t="s">
        <v>98</v>
      </c>
      <c r="C10" s="49">
        <f>'Strategy comparison'!C10</f>
        <v>0</v>
      </c>
      <c r="D10" s="2" t="s">
        <v>51</v>
      </c>
      <c r="E10" s="2" t="s">
        <v>51</v>
      </c>
      <c r="F10" s="79"/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38">
        <f t="shared" si="4"/>
        <v>21823.78</v>
      </c>
      <c r="M10" s="97"/>
      <c r="N10" s="34">
        <f>'Tax Tables'!F8</f>
        <v>50401</v>
      </c>
      <c r="O10" s="44">
        <f>'Tax Tables'!G8</f>
        <v>105700</v>
      </c>
      <c r="P10" s="10">
        <f>'Tax Tables'!H8</f>
        <v>0.22</v>
      </c>
      <c r="Q10" s="11">
        <f t="shared" si="2"/>
        <v>12165.78</v>
      </c>
      <c r="R10" s="11">
        <f t="shared" si="3"/>
        <v>12165.78</v>
      </c>
      <c r="S10" s="38">
        <f t="shared" si="5"/>
        <v>12165.78</v>
      </c>
    </row>
    <row r="11" spans="2:21" ht="16" thickBot="1" x14ac:dyDescent="0.25">
      <c r="B11" s="27" t="s">
        <v>97</v>
      </c>
      <c r="C11" s="49">
        <f>'Strategy comparison'!C11</f>
        <v>0</v>
      </c>
      <c r="D11" s="3" t="s">
        <v>52</v>
      </c>
      <c r="E11" s="3" t="s">
        <v>52</v>
      </c>
      <c r="F11" s="79"/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45263.759999999995</v>
      </c>
      <c r="K11" s="11">
        <f t="shared" si="1"/>
        <v>45263.759999999995</v>
      </c>
      <c r="L11" s="38">
        <f t="shared" si="4"/>
        <v>0</v>
      </c>
      <c r="M11" s="97"/>
      <c r="N11" s="34">
        <f>'Tax Tables'!F9</f>
        <v>105701</v>
      </c>
      <c r="O11" s="44">
        <f>'Tax Tables'!G9</f>
        <v>201775</v>
      </c>
      <c r="P11" s="10">
        <f>'Tax Tables'!H9</f>
        <v>0.24</v>
      </c>
      <c r="Q11" s="11">
        <f t="shared" si="2"/>
        <v>23057.759999999998</v>
      </c>
      <c r="R11" s="11">
        <f t="shared" si="3"/>
        <v>23057.759999999998</v>
      </c>
      <c r="S11" s="38">
        <f t="shared" si="5"/>
        <v>22631.759999999998</v>
      </c>
    </row>
    <row r="12" spans="2:21" ht="16" thickBot="1" x14ac:dyDescent="0.25">
      <c r="B12" s="28" t="s">
        <v>100</v>
      </c>
      <c r="C12" s="49">
        <f>SUM(C6:C9)+C11</f>
        <v>400000</v>
      </c>
      <c r="D12" s="129">
        <f>C23/D9</f>
        <v>0</v>
      </c>
      <c r="E12" s="5">
        <f>C24/E9</f>
        <v>0</v>
      </c>
      <c r="F12" s="87"/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0</v>
      </c>
      <c r="K12" s="11">
        <f t="shared" si="1"/>
        <v>0</v>
      </c>
      <c r="L12" s="38">
        <f t="shared" si="4"/>
        <v>0</v>
      </c>
      <c r="M12" s="97"/>
      <c r="N12" s="34">
        <f>'Tax Tables'!F10</f>
        <v>201776</v>
      </c>
      <c r="O12" s="44">
        <f>'Tax Tables'!G10</f>
        <v>256225</v>
      </c>
      <c r="P12" s="10">
        <f>'Tax Tables'!H10</f>
        <v>0.32</v>
      </c>
      <c r="Q12" s="11">
        <f t="shared" si="2"/>
        <v>17423.68</v>
      </c>
      <c r="R12" s="11">
        <f t="shared" si="3"/>
        <v>17423.68</v>
      </c>
      <c r="S12" s="38">
        <f t="shared" si="5"/>
        <v>0</v>
      </c>
    </row>
    <row r="13" spans="2:21" ht="16" thickBot="1" x14ac:dyDescent="0.25">
      <c r="B13" s="28" t="s">
        <v>20</v>
      </c>
      <c r="C13" s="49">
        <f>'Strategy comparison'!C8</f>
        <v>0</v>
      </c>
      <c r="D13" s="3" t="s">
        <v>53</v>
      </c>
      <c r="E13" s="3" t="s">
        <v>54</v>
      </c>
      <c r="F13" s="79"/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0</v>
      </c>
      <c r="K13" s="11">
        <f t="shared" si="1"/>
        <v>0</v>
      </c>
      <c r="L13" s="38">
        <f t="shared" si="4"/>
        <v>0</v>
      </c>
      <c r="M13" s="97"/>
      <c r="N13" s="34">
        <f>'Tax Tables'!F11</f>
        <v>256226</v>
      </c>
      <c r="O13" s="44">
        <f>'Tax Tables'!G11</f>
        <v>640600</v>
      </c>
      <c r="P13" s="10">
        <f>'Tax Tables'!H11</f>
        <v>0.35</v>
      </c>
      <c r="Q13" s="11">
        <f t="shared" si="2"/>
        <v>50320.899999999994</v>
      </c>
      <c r="R13" s="11">
        <f t="shared" si="3"/>
        <v>50320.899999999994</v>
      </c>
      <c r="S13" s="38">
        <f t="shared" si="5"/>
        <v>0</v>
      </c>
    </row>
    <row r="14" spans="2:21" ht="16" thickBot="1" x14ac:dyDescent="0.25">
      <c r="B14" s="28" t="s">
        <v>102</v>
      </c>
      <c r="C14" s="49">
        <f>C13+C10</f>
        <v>0</v>
      </c>
      <c r="D14" s="5">
        <f>C23*0.05</f>
        <v>0</v>
      </c>
      <c r="E14" s="5">
        <f>C24*0.05</f>
        <v>0</v>
      </c>
      <c r="F14" s="87"/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0</v>
      </c>
      <c r="K14" s="14">
        <f>IF(K7&gt;=G14,(K7-G14)*I14,0)</f>
        <v>0</v>
      </c>
      <c r="L14" s="38">
        <f t="shared" si="4"/>
        <v>0</v>
      </c>
      <c r="M14" s="97"/>
      <c r="N14" s="35">
        <f>'Tax Tables'!F12</f>
        <v>640601</v>
      </c>
      <c r="O14" s="45">
        <f>'Tax Tables'!G12</f>
        <v>99999999999</v>
      </c>
      <c r="P14" s="13">
        <f>'Tax Tables'!H12</f>
        <v>0.37</v>
      </c>
      <c r="Q14" s="14">
        <f>IF(Q7&gt;=N14,(Q7-N14)*P14,0)</f>
        <v>0</v>
      </c>
      <c r="R14" s="14">
        <f>IF(R7&gt;=N14,(R7-N14)*P14,0)</f>
        <v>0</v>
      </c>
      <c r="S14" s="231">
        <f t="shared" si="5"/>
        <v>0</v>
      </c>
    </row>
    <row r="15" spans="2:21" ht="16" thickBot="1" x14ac:dyDescent="0.25">
      <c r="B15" s="28" t="s">
        <v>18</v>
      </c>
      <c r="C15" s="49">
        <f>C12+C14</f>
        <v>400000</v>
      </c>
      <c r="D15" s="452" t="s">
        <v>27</v>
      </c>
      <c r="E15" s="453"/>
      <c r="F15" s="127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97"/>
    </row>
    <row r="16" spans="2:21" ht="16" thickBot="1" x14ac:dyDescent="0.25">
      <c r="B16" s="28" t="s">
        <v>21</v>
      </c>
      <c r="C16" s="49">
        <f>IF(C5="Single",Q17,IF(C5="Married-Joint",J17,"Filing Status?"))</f>
        <v>81195.419999999984</v>
      </c>
      <c r="D16" s="454">
        <f>'Strategy comparison'!C12</f>
        <v>0</v>
      </c>
      <c r="E16" s="455"/>
      <c r="F16" s="87"/>
      <c r="G16" s="96"/>
      <c r="H16" s="97"/>
      <c r="I16" s="97"/>
      <c r="J16" s="422" t="s">
        <v>26</v>
      </c>
      <c r="K16" s="443"/>
      <c r="L16" s="423"/>
      <c r="M16" s="104" t="s">
        <v>38</v>
      </c>
      <c r="N16" s="196"/>
      <c r="O16" s="97"/>
      <c r="P16" s="97"/>
      <c r="Q16" s="422" t="s">
        <v>26</v>
      </c>
      <c r="R16" s="443"/>
      <c r="S16" s="423"/>
      <c r="T16" s="104" t="s">
        <v>38</v>
      </c>
      <c r="U16" s="196"/>
    </row>
    <row r="17" spans="2:21" ht="16" thickBot="1" x14ac:dyDescent="0.25">
      <c r="B17" s="28" t="s">
        <v>22</v>
      </c>
      <c r="C17" s="52">
        <f>IF(C5="Single",Q42,IF(C5="Married-Joint",J42,"Filing Status?"))</f>
        <v>12000</v>
      </c>
      <c r="D17" s="3" t="s">
        <v>55</v>
      </c>
      <c r="E17" s="3" t="s">
        <v>55</v>
      </c>
      <c r="F17" s="79"/>
      <c r="G17" s="101"/>
      <c r="H17" s="100"/>
      <c r="I17" s="100"/>
      <c r="J17" s="106">
        <f>SUM(J8:J14)</f>
        <v>81195.419999999984</v>
      </c>
      <c r="K17" s="106">
        <f>SUM(K8:K14)</f>
        <v>81195.419999999984</v>
      </c>
      <c r="L17" s="106">
        <f>SUM(L8:L14)</f>
        <v>33423.659999999996</v>
      </c>
      <c r="M17" s="107">
        <f>J17-L17</f>
        <v>47771.759999999987</v>
      </c>
      <c r="N17" s="197"/>
      <c r="O17" s="100"/>
      <c r="P17" s="100"/>
      <c r="Q17" s="106">
        <f>SUM(Q8:Q14)</f>
        <v>108768</v>
      </c>
      <c r="R17" s="106">
        <f>SUM(R8:R14)</f>
        <v>108768</v>
      </c>
      <c r="S17" s="106">
        <f>SUM(S8:S14)</f>
        <v>40597.42</v>
      </c>
      <c r="T17" s="107">
        <f>Q17-S17</f>
        <v>68170.58</v>
      </c>
      <c r="U17" s="200"/>
    </row>
    <row r="18" spans="2:21" ht="16" thickBot="1" x14ac:dyDescent="0.25">
      <c r="B18" s="28" t="s">
        <v>23</v>
      </c>
      <c r="C18" s="52">
        <f>IF(C5="Single",Q28,IF(C5="Married-Joint",J28,"Filing Status?"))</f>
        <v>0</v>
      </c>
      <c r="D18" s="5">
        <f>D12+D14</f>
        <v>0</v>
      </c>
      <c r="E18" s="5">
        <f>E12+E14+D16</f>
        <v>0</v>
      </c>
      <c r="F18" s="87"/>
      <c r="G18" s="6"/>
    </row>
    <row r="19" spans="2:21" x14ac:dyDescent="0.2">
      <c r="B19" s="28" t="s">
        <v>90</v>
      </c>
      <c r="C19" s="178">
        <f>J45</f>
        <v>0</v>
      </c>
      <c r="D19" s="3" t="s">
        <v>58</v>
      </c>
      <c r="E19" s="3" t="s">
        <v>58</v>
      </c>
      <c r="G19" s="206" t="s">
        <v>105</v>
      </c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8"/>
      <c r="S19" s="201"/>
    </row>
    <row r="20" spans="2:21" ht="16" thickBot="1" x14ac:dyDescent="0.25">
      <c r="B20" s="27" t="s">
        <v>24</v>
      </c>
      <c r="C20" s="50">
        <f>SUM(C16:C19)</f>
        <v>93195.419999999984</v>
      </c>
      <c r="D20" s="5">
        <f>D12*0.6</f>
        <v>0</v>
      </c>
      <c r="E20" s="5">
        <f>E12*0.5</f>
        <v>0</v>
      </c>
      <c r="G20" s="96"/>
      <c r="H20" s="100"/>
      <c r="I20" s="97"/>
      <c r="J20" s="97"/>
      <c r="K20" s="97"/>
      <c r="L20" s="97"/>
      <c r="M20" s="97"/>
      <c r="N20" s="97"/>
      <c r="O20" s="97"/>
      <c r="P20" s="97"/>
      <c r="Q20" s="97"/>
      <c r="R20" s="98"/>
      <c r="S20" s="97"/>
    </row>
    <row r="21" spans="2:21" ht="16" thickBot="1" x14ac:dyDescent="0.25">
      <c r="B21" s="26" t="s">
        <v>25</v>
      </c>
      <c r="C21" s="59">
        <f>C20/C15</f>
        <v>0.23298854999999996</v>
      </c>
      <c r="G21" s="419" t="s">
        <v>17</v>
      </c>
      <c r="H21" s="420"/>
      <c r="I21" s="421"/>
      <c r="J21" s="188" t="s">
        <v>108</v>
      </c>
      <c r="K21" s="189" t="s">
        <v>117</v>
      </c>
      <c r="L21" s="189" t="s">
        <v>118</v>
      </c>
      <c r="M21" s="97"/>
      <c r="N21" s="419" t="s">
        <v>19</v>
      </c>
      <c r="O21" s="420"/>
      <c r="P21" s="421"/>
      <c r="Q21" s="188" t="s">
        <v>108</v>
      </c>
      <c r="R21" s="189" t="s">
        <v>117</v>
      </c>
      <c r="S21" s="189" t="s">
        <v>118</v>
      </c>
    </row>
    <row r="22" spans="2:21" ht="16" thickBot="1" x14ac:dyDescent="0.25">
      <c r="B22" s="26"/>
      <c r="C22" s="55"/>
      <c r="D22" s="6"/>
      <c r="G22" s="30"/>
      <c r="H22" s="31"/>
      <c r="I22" s="32"/>
      <c r="J22" s="73">
        <f>C14</f>
        <v>0</v>
      </c>
      <c r="K22" s="69">
        <f>C27</f>
        <v>0</v>
      </c>
      <c r="L22" s="69">
        <f>K22-IF(C61&gt;K7,C61-K7,0)</f>
        <v>0</v>
      </c>
      <c r="M22" s="97"/>
      <c r="N22" s="30"/>
      <c r="O22" s="31"/>
      <c r="P22" s="32"/>
      <c r="Q22" s="33">
        <f>J22</f>
        <v>0</v>
      </c>
      <c r="R22" s="80">
        <f>K22</f>
        <v>0</v>
      </c>
      <c r="S22" s="69">
        <f>L22</f>
        <v>0</v>
      </c>
    </row>
    <row r="23" spans="2:21" ht="16" thickBot="1" x14ac:dyDescent="0.25">
      <c r="B23" s="27" t="s">
        <v>56</v>
      </c>
      <c r="C23" s="52">
        <f>IF('DB comparison'!L5="",C7*D6,'DB comparison'!L5)</f>
        <v>0</v>
      </c>
      <c r="G23" s="36">
        <f>'Tax Tables'!B18</f>
        <v>0</v>
      </c>
      <c r="H23" s="43">
        <f>'Tax Tables'!C18</f>
        <v>98900</v>
      </c>
      <c r="I23" s="70">
        <f>'Tax Tables'!D18</f>
        <v>0</v>
      </c>
      <c r="J23" s="38">
        <f t="shared" ref="J23:L25" si="6">IF(J$22&gt;$H23,($H23-$G23)*$I23,MAX((J$22-$G23),0)*$I23)</f>
        <v>0</v>
      </c>
      <c r="K23" s="213">
        <f t="shared" si="6"/>
        <v>0</v>
      </c>
      <c r="L23" s="213">
        <f t="shared" si="6"/>
        <v>0</v>
      </c>
      <c r="M23" s="97"/>
      <c r="N23" s="34">
        <f>'Tax Tables'!F18</f>
        <v>0</v>
      </c>
      <c r="O23" s="44">
        <f>'Tax Tables'!G18</f>
        <v>49450</v>
      </c>
      <c r="P23" s="10">
        <f>'Tax Tables'!H18</f>
        <v>0</v>
      </c>
      <c r="Q23" s="38">
        <f>IF(Q$22&gt;$O23,($O23-$N23)*$P23,MAX((Q$22-$N23),0)*$P23)</f>
        <v>0</v>
      </c>
      <c r="R23" s="38">
        <f>IF(R$22&gt;$O23,($O23-$N23)*$P23,MAX((R$22-$N23),0)*$P23)</f>
        <v>0</v>
      </c>
      <c r="S23" s="38">
        <f>IF(S$22&gt;$O23,($O23-$N23)*$P23,MAX((S$22-$N23),0)*$P23)</f>
        <v>0</v>
      </c>
    </row>
    <row r="24" spans="2:21" ht="16" thickBot="1" x14ac:dyDescent="0.25">
      <c r="B24" s="27" t="s">
        <v>57</v>
      </c>
      <c r="C24" s="52">
        <f>IF('DB comparison'!L7="",C13*E6,'DB comparison'!L7)</f>
        <v>0</v>
      </c>
      <c r="G24" s="34">
        <f>'Tax Tables'!B19</f>
        <v>98901</v>
      </c>
      <c r="H24" s="44">
        <f>'Tax Tables'!C19</f>
        <v>613700</v>
      </c>
      <c r="I24" s="71">
        <f>'Tax Tables'!D19</f>
        <v>0.15</v>
      </c>
      <c r="J24" s="38">
        <f t="shared" si="6"/>
        <v>0</v>
      </c>
      <c r="K24" s="38">
        <f t="shared" si="6"/>
        <v>0</v>
      </c>
      <c r="L24" s="213">
        <f t="shared" si="6"/>
        <v>0</v>
      </c>
      <c r="M24" s="97"/>
      <c r="N24" s="34">
        <f>'Tax Tables'!F19</f>
        <v>49451</v>
      </c>
      <c r="O24" s="44">
        <f>'Tax Tables'!G19</f>
        <v>545500</v>
      </c>
      <c r="P24" s="10">
        <f>'Tax Tables'!H19</f>
        <v>0.15</v>
      </c>
      <c r="Q24" s="38">
        <f t="shared" ref="Q24:S25" si="7">IF(Q$22&gt;$O24,($O24-$N24)*$P24,MAX((Q$22-$N24),0)*$P24)</f>
        <v>0</v>
      </c>
      <c r="R24" s="38">
        <f t="shared" si="7"/>
        <v>0</v>
      </c>
      <c r="S24" s="38">
        <f t="shared" si="7"/>
        <v>0</v>
      </c>
    </row>
    <row r="25" spans="2:21" ht="16" thickBot="1" x14ac:dyDescent="0.25">
      <c r="B25" s="27" t="s">
        <v>112</v>
      </c>
      <c r="C25" s="52">
        <f>C12-C23</f>
        <v>400000</v>
      </c>
      <c r="G25" s="35">
        <f>'Tax Tables'!B20</f>
        <v>613701</v>
      </c>
      <c r="H25" s="45">
        <f>'Tax Tables'!C20</f>
        <v>99999999999</v>
      </c>
      <c r="I25" s="72">
        <f>'Tax Tables'!D20</f>
        <v>0.2</v>
      </c>
      <c r="J25" s="231">
        <f t="shared" si="6"/>
        <v>0</v>
      </c>
      <c r="K25" s="231">
        <f t="shared" si="6"/>
        <v>0</v>
      </c>
      <c r="L25" s="232">
        <f t="shared" si="6"/>
        <v>0</v>
      </c>
      <c r="M25" s="97"/>
      <c r="N25" s="35">
        <f>'Tax Tables'!F20</f>
        <v>545501</v>
      </c>
      <c r="O25" s="45">
        <f>'Tax Tables'!G20</f>
        <v>99999999999</v>
      </c>
      <c r="P25" s="13">
        <f>'Tax Tables'!H20</f>
        <v>0.2</v>
      </c>
      <c r="Q25" s="231">
        <f t="shared" si="7"/>
        <v>0</v>
      </c>
      <c r="R25" s="231">
        <f t="shared" si="7"/>
        <v>0</v>
      </c>
      <c r="S25" s="231">
        <f>IF(S$22&gt;$O25,($O25-$N25)*$P25,MAX((S$22-$N25),0)*$P25)</f>
        <v>0</v>
      </c>
    </row>
    <row r="26" spans="2:21" ht="16" thickBot="1" x14ac:dyDescent="0.25">
      <c r="B26" s="27" t="s">
        <v>59</v>
      </c>
      <c r="C26" s="52">
        <f>C13-C24</f>
        <v>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8"/>
      <c r="S26" s="97"/>
    </row>
    <row r="27" spans="2:21" ht="16" thickBot="1" x14ac:dyDescent="0.25">
      <c r="B27" s="27" t="s">
        <v>104</v>
      </c>
      <c r="C27" s="52">
        <f>C26+C10</f>
        <v>0</v>
      </c>
      <c r="G27" s="96"/>
      <c r="H27" s="97"/>
      <c r="I27" s="97"/>
      <c r="J27" s="422" t="s">
        <v>26</v>
      </c>
      <c r="K27" s="443"/>
      <c r="L27" s="423"/>
      <c r="M27" s="104" t="s">
        <v>38</v>
      </c>
      <c r="N27" s="97"/>
      <c r="O27" s="97"/>
      <c r="P27" s="97"/>
      <c r="Q27" s="422" t="s">
        <v>26</v>
      </c>
      <c r="R27" s="443"/>
      <c r="S27" s="423"/>
      <c r="T27" s="104" t="s">
        <v>38</v>
      </c>
      <c r="U27" s="97"/>
    </row>
    <row r="28" spans="2:21" ht="16" thickBot="1" x14ac:dyDescent="0.25">
      <c r="B28" s="27" t="s">
        <v>60</v>
      </c>
      <c r="C28" s="52">
        <f>IF(C5="Single",R17,IF(C5="Married-Joint",K17,"Filing Status?"))</f>
        <v>81195.419999999984</v>
      </c>
      <c r="G28" s="101"/>
      <c r="H28" s="100"/>
      <c r="I28" s="100"/>
      <c r="J28" s="122">
        <f>SUM(J23:J25)</f>
        <v>0</v>
      </c>
      <c r="K28" s="111">
        <f>SUM(K23:K25)</f>
        <v>0</v>
      </c>
      <c r="L28" s="111">
        <f>SUM(L23:L25)</f>
        <v>0</v>
      </c>
      <c r="M28" s="123">
        <f>J28-L28</f>
        <v>0</v>
      </c>
      <c r="N28" s="198"/>
      <c r="O28" s="100"/>
      <c r="P28" s="100"/>
      <c r="Q28" s="122">
        <f>SUM(Q23:Q25)</f>
        <v>0</v>
      </c>
      <c r="R28" s="111">
        <f>SUM(R23:R25)</f>
        <v>0</v>
      </c>
      <c r="S28" s="111">
        <f>SUM(S23:S25)</f>
        <v>0</v>
      </c>
      <c r="T28" s="124">
        <f>Q28-S28</f>
        <v>0</v>
      </c>
      <c r="U28" s="102"/>
    </row>
    <row r="29" spans="2:21" ht="16" thickBot="1" x14ac:dyDescent="0.25">
      <c r="B29" s="27" t="s">
        <v>42</v>
      </c>
      <c r="C29" s="56">
        <f>IF(C5="Single",R42,IF(C5="Married-Joint",K42,"Filing Status?"))</f>
        <v>12000</v>
      </c>
      <c r="M29" s="97"/>
    </row>
    <row r="30" spans="2:21" x14ac:dyDescent="0.2">
      <c r="B30" s="27" t="s">
        <v>61</v>
      </c>
      <c r="C30" s="56">
        <f>IF(C5="Single",R28,IF(C5="Married-Joint",K28,"Filing Status?"))</f>
        <v>0</v>
      </c>
      <c r="D30" s="6"/>
      <c r="G30" s="209" t="s">
        <v>107</v>
      </c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1"/>
      <c r="S30" s="202"/>
    </row>
    <row r="31" spans="2:21" ht="16" thickBot="1" x14ac:dyDescent="0.25">
      <c r="B31" s="27" t="s">
        <v>90</v>
      </c>
      <c r="C31" s="177">
        <f>J45</f>
        <v>0</v>
      </c>
      <c r="D31" s="6"/>
      <c r="E31" s="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97"/>
    </row>
    <row r="32" spans="2:21" ht="16" thickBot="1" x14ac:dyDescent="0.25">
      <c r="B32" s="27" t="s">
        <v>62</v>
      </c>
      <c r="C32" s="56"/>
      <c r="D32" s="6"/>
      <c r="G32" s="419" t="s">
        <v>17</v>
      </c>
      <c r="H32" s="420"/>
      <c r="I32" s="421"/>
      <c r="J32" s="7" t="s">
        <v>18</v>
      </c>
      <c r="K32" s="7" t="s">
        <v>66</v>
      </c>
      <c r="L32" s="7" t="s">
        <v>119</v>
      </c>
      <c r="M32" s="97"/>
      <c r="N32" s="419" t="s">
        <v>19</v>
      </c>
      <c r="O32" s="420"/>
      <c r="P32" s="421"/>
      <c r="Q32" s="7" t="s">
        <v>18</v>
      </c>
      <c r="R32" s="7" t="s">
        <v>50</v>
      </c>
      <c r="S32" s="7" t="s">
        <v>119</v>
      </c>
    </row>
    <row r="33" spans="2:21" ht="16" thickBot="1" x14ac:dyDescent="0.25">
      <c r="B33" s="27" t="s">
        <v>43</v>
      </c>
      <c r="C33" s="50">
        <f>SUM(C28:C32)</f>
        <v>93195.419999999984</v>
      </c>
      <c r="G33" s="9"/>
      <c r="J33" s="73">
        <f>C15</f>
        <v>400000</v>
      </c>
      <c r="K33" s="73">
        <f>J33-SUM(C7,C13)</f>
        <v>400000</v>
      </c>
      <c r="L33" s="69">
        <f>K33</f>
        <v>400000</v>
      </c>
      <c r="M33" s="97"/>
      <c r="N33" s="9"/>
      <c r="Q33" s="20">
        <f>J33</f>
        <v>400000</v>
      </c>
      <c r="R33" s="121">
        <f>K33</f>
        <v>400000</v>
      </c>
      <c r="S33" s="69">
        <f>L33</f>
        <v>400000</v>
      </c>
    </row>
    <row r="34" spans="2:21" ht="16" thickBot="1" x14ac:dyDescent="0.25">
      <c r="B34" s="26" t="s">
        <v>25</v>
      </c>
      <c r="C34" s="53">
        <f>C37/C15</f>
        <v>0.23298854999999996</v>
      </c>
      <c r="G34" s="60">
        <f>'Tax Tables'!B25</f>
        <v>0</v>
      </c>
      <c r="H34" s="65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12000</v>
      </c>
      <c r="K34" s="38">
        <f>IF(IF(K$33&gt;$H34,($H34-$G34)*$I34,(K$33-$G34)*$I34)&gt;0,IF(K$33&gt;$H34,($H34-$G34)*$I34,(K$33-$G34)*$I34),0)</f>
        <v>12000</v>
      </c>
      <c r="L34" s="38">
        <f>IF(IF(L$33&gt;$H34,($H34-$G34)*$I34,(L$33-$G34)*$I34)&gt;0,IF(L$33&gt;$H34,($H34-$G34)*$I34,(L$33-$G34)*$I34),0)</f>
        <v>12000</v>
      </c>
      <c r="M34" s="97"/>
      <c r="N34" s="60">
        <f>'Tax Tables'!F25</f>
        <v>0</v>
      </c>
      <c r="O34" s="65">
        <f>'Tax Tables'!G25</f>
        <v>100000000</v>
      </c>
      <c r="P34" s="66">
        <f>'Tax Tables'!H25</f>
        <v>0.03</v>
      </c>
      <c r="Q34" s="36">
        <f>IF(IF(Q$33&gt;O34,(O34-N34)*P34,(Q$33-N34)*P34)&gt;0,IF(Q$33&gt;O34,(O34-N34)*P34,(Q$33-N34)*P34),0)</f>
        <v>12000</v>
      </c>
      <c r="R34" s="38">
        <f>IF(IF(R$33&gt;$O34,($O34-$N34)*$P34,(R$33-$N34)*$P34)&gt;0,IF(R$33&gt;$O34,($O34-$N34)*$P34,(R$33-$N34)*$P34),0)</f>
        <v>12000</v>
      </c>
      <c r="S34" s="38">
        <f>IF(IF(S$33&gt;$O34,($O34-$N34)*$P34,(S$33-$N34)*$P34)&gt;0,IF(S$33&gt;$O34,($O34-$N34)*$P34,(S$33-$N34)*$P34),0)</f>
        <v>12000</v>
      </c>
    </row>
    <row r="35" spans="2:21" ht="16" thickBot="1" x14ac:dyDescent="0.25">
      <c r="B35" s="27" t="s">
        <v>114</v>
      </c>
      <c r="C35" s="52">
        <f>C20</f>
        <v>93195.419999999984</v>
      </c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>IF(IF(K$33&gt;H35,(H35-G35)*I35,(K$33-G35)*I35)&gt;0,IF(K$33&gt;H35,(H35-G35)*I35,(K$33-G35)*I35),0)</f>
        <v>0</v>
      </c>
      <c r="L35" s="11"/>
      <c r="M35" s="97"/>
      <c r="N35" s="60">
        <f>'Tax Tables'!F26</f>
        <v>0</v>
      </c>
      <c r="O35" s="65">
        <f>'Tax Tables'!G26</f>
        <v>0</v>
      </c>
      <c r="P35" s="29">
        <f>'Tax Tables'!H26</f>
        <v>0</v>
      </c>
      <c r="Q35" s="34">
        <f>IF(IF(Q$33&gt;O35,(O35-N35)*P35,(Q$33-N35)*P35)&gt;0,IF(Q$33&gt;O35,(O35-N35)*P35,(Q$33-N35)*P35),0)</f>
        <v>0</v>
      </c>
      <c r="R35" s="11">
        <f>IF(IF(R$33&gt;O35,(O35-N35)*P35,(R$33-N35)*P35)&gt;0,IF(R$33&gt;O35,(O35-N35)*P35,(R$33-N35)*P35),0)</f>
        <v>0</v>
      </c>
      <c r="S35" s="38">
        <f>IF(IF(S$33&gt;$O35,($O35-$N35)*$P35,(S$33-$N35)*$P35)&gt;0,IF(S$33&gt;$O35,($O35-$N35)*$P35,(S$33-$N35)*$P35),0)</f>
        <v>0</v>
      </c>
    </row>
    <row r="36" spans="2:21" ht="16" thickBot="1" x14ac:dyDescent="0.25">
      <c r="B36" s="47" t="s">
        <v>45</v>
      </c>
      <c r="C36" s="64">
        <f>D18+E18</f>
        <v>0</v>
      </c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>IF(IF(K$33&gt;H36,(H36-G36)*I36,(K$33-G36)*I36)&gt;0,IF(K$33&gt;H36,(H36-G36)*I36,(K$33-G36)*I36),0)</f>
        <v>0</v>
      </c>
      <c r="L36" s="11"/>
      <c r="M36" s="97"/>
      <c r="N36" s="60">
        <f>'Tax Tables'!F27</f>
        <v>0</v>
      </c>
      <c r="O36" s="65">
        <f>'Tax Tables'!G27</f>
        <v>0</v>
      </c>
      <c r="P36" s="29">
        <f>'Tax Tables'!H27</f>
        <v>0</v>
      </c>
      <c r="Q36" s="34">
        <f>IF(IF(Q$33&gt;O36,(O36-N36)*P36,(Q$33-N36)*P36)&gt;0,IF(Q$33&gt;O36,(O36-N36)*P36,(Q$33-N36)*P36),0)</f>
        <v>0</v>
      </c>
      <c r="R36" s="11">
        <f>IF(IF(R$33&gt;O36,(O36-N36)*P36,(R$33-N36)*P36)&gt;0,IF(R$33&gt;O36,(O36-N36)*P36,(R$33-N36)*P36),0)</f>
        <v>0</v>
      </c>
      <c r="S36" s="38">
        <f>IF(IF(S$33&gt;$O36,($O36-$N36)*$P36,(S$33-$N36)*$P36)&gt;0,IF(S$33&gt;$O36,($O36-$N36)*$P36,(S$33-$N36)*$P36),0)</f>
        <v>0</v>
      </c>
    </row>
    <row r="37" spans="2:21" ht="16" thickBot="1" x14ac:dyDescent="0.25">
      <c r="B37" s="84" t="s">
        <v>11</v>
      </c>
      <c r="C37" s="126">
        <f>C36+C33+C39</f>
        <v>93195.419999999984</v>
      </c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>IF(IF(K$33&gt;H37,(H37-G37)*I37,(K$33-G37)*I37)&gt;0,IF(K$33&gt;H37,(H37-G37)*I37,(K$33-G37)*I37),0)</f>
        <v>0</v>
      </c>
      <c r="L37" s="11"/>
      <c r="M37" s="97"/>
      <c r="N37" s="60">
        <f>'Tax Tables'!F28</f>
        <v>0</v>
      </c>
      <c r="O37" s="65">
        <f>'Tax Tables'!G28</f>
        <v>0</v>
      </c>
      <c r="P37" s="29">
        <f>'Tax Tables'!H28</f>
        <v>0</v>
      </c>
      <c r="Q37" s="34">
        <f>IF(IF(Q$33&gt;O37,(O37-N37)*P37,(Q$33-N37)*P37)&gt;0,IF(Q$33&gt;O37,(O37-N37)*P37,(Q$33-N37)*P37),0)</f>
        <v>0</v>
      </c>
      <c r="R37" s="11">
        <f>IF(IF(R$33&gt;O37,(O37-N37)*P37,(R$33-N37)*P37)&gt;0,IF(R$33&gt;O37,(O37-N37)*P37,(R$33-N37)*P37),0)</f>
        <v>0</v>
      </c>
      <c r="S37" s="38">
        <f>IF(IF(S$33&gt;$O37,($O37-$N37)*$P37,(S$33-$N37)*$P37)&gt;0,IF(S$33&gt;$O37,($O37-$N37)*$P37,(S$33-$N37)*$P37),0)</f>
        <v>0</v>
      </c>
    </row>
    <row r="38" spans="2:21" ht="16" thickBot="1" x14ac:dyDescent="0.25">
      <c r="B38" s="24" t="s">
        <v>64</v>
      </c>
      <c r="C38" s="54">
        <f>C35-C37</f>
        <v>0</v>
      </c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>IF(IF(K$33&gt;H38,(H38-G38)*I38,(K$33-G38)*I38)&gt;0,IF(K$33&gt;H38,(H38-G38)*I38,(K$33-G38)*I38),0)</f>
        <v>0</v>
      </c>
      <c r="L38" s="11"/>
      <c r="M38" s="97"/>
      <c r="N38" s="60">
        <f>'Tax Tables'!F29</f>
        <v>0</v>
      </c>
      <c r="O38" s="65">
        <f>'Tax Tables'!G29</f>
        <v>0</v>
      </c>
      <c r="P38" s="29">
        <f>'Tax Tables'!H29</f>
        <v>0</v>
      </c>
      <c r="Q38" s="34">
        <f>IF(IF(Q$33&gt;O38,(O38-N38)*P38,(Q$33-N38)*P38)&gt;0,IF(Q$33&gt;O38,(O38-N38)*P38,(Q$33-N38)*P38),0)</f>
        <v>0</v>
      </c>
      <c r="R38" s="11">
        <f>IF(IF(R$33&gt;O38,(O38-N38)*P38,(R$33-N38)*P38)&gt;0,IF(R$33&gt;O38,(O38-N38)*P38,(R$33-N38)*P38),0)</f>
        <v>0</v>
      </c>
      <c r="S38" s="231">
        <f>IF(IF(S$33&gt;$O38,($O38-$N38)*$P38,(S$33-$N38)*$P38)&gt;0,IF(S$33&gt;$O38,($O38-$N38)*$P38,(S$33-$N38)*$P38),0)</f>
        <v>0</v>
      </c>
    </row>
    <row r="39" spans="2:21" ht="16" thickBot="1" x14ac:dyDescent="0.25">
      <c r="B39" s="24" t="s">
        <v>65</v>
      </c>
      <c r="C39" s="128">
        <f>SUM(D20:E20)</f>
        <v>0</v>
      </c>
      <c r="G39" s="15"/>
      <c r="H39" s="12"/>
      <c r="I39" s="41"/>
      <c r="J39" s="35"/>
      <c r="K39" s="14"/>
      <c r="L39" s="14"/>
      <c r="M39" s="97"/>
      <c r="N39" s="15"/>
      <c r="O39" s="12"/>
      <c r="P39" s="22"/>
      <c r="Q39" s="14"/>
      <c r="R39" s="14"/>
      <c r="S39" s="231"/>
    </row>
    <row r="40" spans="2:21" ht="16" thickBot="1" x14ac:dyDescent="0.25">
      <c r="B40" s="84" t="s">
        <v>120</v>
      </c>
      <c r="C40" s="126">
        <f>C38+C39</f>
        <v>0</v>
      </c>
      <c r="F40" s="4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8"/>
      <c r="S40" s="97"/>
    </row>
    <row r="41" spans="2:21" ht="16" thickBot="1" x14ac:dyDescent="0.25">
      <c r="G41" s="96"/>
      <c r="H41" s="97"/>
      <c r="I41" s="97"/>
      <c r="J41" s="422" t="s">
        <v>26</v>
      </c>
      <c r="K41" s="443"/>
      <c r="L41" s="423"/>
      <c r="M41" s="125" t="s">
        <v>38</v>
      </c>
      <c r="N41" s="196"/>
      <c r="O41" s="97"/>
      <c r="P41" s="97"/>
      <c r="Q41" s="422" t="s">
        <v>26</v>
      </c>
      <c r="R41" s="443"/>
      <c r="S41" s="423"/>
      <c r="T41" s="125" t="s">
        <v>38</v>
      </c>
      <c r="U41" s="196"/>
    </row>
    <row r="42" spans="2:21" ht="16" thickBot="1" x14ac:dyDescent="0.25">
      <c r="D42" s="4"/>
      <c r="E42" s="4"/>
      <c r="G42" s="101"/>
      <c r="H42" s="100"/>
      <c r="I42" s="100"/>
      <c r="J42" s="106">
        <f>SUM(J34:J39)</f>
        <v>12000</v>
      </c>
      <c r="K42" s="106">
        <f>SUM(K34:K39)</f>
        <v>12000</v>
      </c>
      <c r="L42" s="106">
        <f>SUM(L34:L39)</f>
        <v>12000</v>
      </c>
      <c r="M42" s="107">
        <f>J42-L42</f>
        <v>0</v>
      </c>
      <c r="N42" s="197"/>
      <c r="O42" s="100"/>
      <c r="P42" s="100"/>
      <c r="Q42" s="106">
        <f>SUM(Q34:Q39)</f>
        <v>12000</v>
      </c>
      <c r="R42" s="106">
        <f>SUM(R34:R39)</f>
        <v>12000</v>
      </c>
      <c r="S42" s="106">
        <f>SUM(S34:S39)</f>
        <v>12000</v>
      </c>
      <c r="T42" s="107">
        <f>Q42-S42</f>
        <v>0</v>
      </c>
      <c r="U42" s="200"/>
    </row>
    <row r="43" spans="2:21" ht="16" thickBot="1" x14ac:dyDescent="0.25">
      <c r="B43" s="74"/>
      <c r="C43" s="75"/>
      <c r="D43" s="57" t="s">
        <v>29</v>
      </c>
    </row>
    <row r="44" spans="2:21" ht="16" thickBot="1" x14ac:dyDescent="0.25">
      <c r="B44" s="27" t="s">
        <v>13</v>
      </c>
      <c r="C44" s="148" t="str">
        <f>'Strategy comparison'!C4</f>
        <v>Married-Joint</v>
      </c>
      <c r="D44" s="58" t="s">
        <v>0</v>
      </c>
      <c r="I44" s="181" t="s">
        <v>196</v>
      </c>
      <c r="J44" s="175">
        <f>'Tax Tables'!$C$34</f>
        <v>3.7999999999999999E-2</v>
      </c>
    </row>
    <row r="45" spans="2:21" ht="16" thickBot="1" x14ac:dyDescent="0.25">
      <c r="B45" s="27" t="s">
        <v>14</v>
      </c>
      <c r="C45" s="212">
        <f>'Strategy comparison'!C5</f>
        <v>400000</v>
      </c>
      <c r="D45" s="42">
        <v>0.5</v>
      </c>
      <c r="I45" s="174">
        <f>SUM(C8:C11)</f>
        <v>0</v>
      </c>
      <c r="J45" s="137">
        <f>IF(C15-C23-C24-C61-IF(C5="Married-Joint",250000,200000)&gt;I45,(C15-C23-C24-C61-IF(C5="Married-Joint",250000,200000))*J44, I45*J44)</f>
        <v>0</v>
      </c>
    </row>
    <row r="46" spans="2:21" ht="16" thickBot="1" x14ac:dyDescent="0.25">
      <c r="B46" s="27" t="s">
        <v>15</v>
      </c>
      <c r="C46" s="212">
        <f>'Strategy comparison'!C6-'DB comparison'!C2</f>
        <v>0</v>
      </c>
      <c r="D46" s="61"/>
      <c r="F46" s="1"/>
    </row>
    <row r="47" spans="2:21" ht="16" thickBot="1" x14ac:dyDescent="0.25">
      <c r="B47" s="27" t="s">
        <v>16</v>
      </c>
      <c r="C47" s="212">
        <f>'Strategy comparison'!C7</f>
        <v>0</v>
      </c>
      <c r="D47" s="62" t="s">
        <v>72</v>
      </c>
      <c r="F47" s="23"/>
    </row>
    <row r="48" spans="2:21" ht="16" thickBot="1" x14ac:dyDescent="0.25">
      <c r="B48" s="27" t="s">
        <v>96</v>
      </c>
      <c r="C48" s="212">
        <f>'Strategy comparison'!C9</f>
        <v>0</v>
      </c>
      <c r="D48" s="63">
        <v>5</v>
      </c>
      <c r="E48" s="1"/>
    </row>
    <row r="49" spans="2:5" ht="16" thickBot="1" x14ac:dyDescent="0.25">
      <c r="B49" s="27" t="s">
        <v>98</v>
      </c>
      <c r="C49" s="212">
        <f>'Strategy comparison'!C10</f>
        <v>0</v>
      </c>
      <c r="D49" s="2" t="s">
        <v>32</v>
      </c>
      <c r="E49" s="23"/>
    </row>
    <row r="50" spans="2:5" ht="16" thickBot="1" x14ac:dyDescent="0.25">
      <c r="B50" s="27" t="s">
        <v>97</v>
      </c>
      <c r="C50" s="212">
        <f>'Strategy comparison'!C11</f>
        <v>0</v>
      </c>
      <c r="D50" s="3" t="s">
        <v>34</v>
      </c>
    </row>
    <row r="51" spans="2:5" ht="16" thickBot="1" x14ac:dyDescent="0.25">
      <c r="B51" s="27" t="s">
        <v>100</v>
      </c>
      <c r="C51" s="212">
        <f>SUM(C45:C48)+C50</f>
        <v>400000</v>
      </c>
      <c r="D51" s="5">
        <f>C61/D48</f>
        <v>40000</v>
      </c>
    </row>
    <row r="52" spans="2:5" ht="16" thickBot="1" x14ac:dyDescent="0.25">
      <c r="B52" s="27" t="s">
        <v>20</v>
      </c>
      <c r="C52" s="212">
        <f>'Strategy comparison'!C8</f>
        <v>0</v>
      </c>
      <c r="D52" s="3" t="s">
        <v>35</v>
      </c>
    </row>
    <row r="53" spans="2:5" ht="16" thickBot="1" x14ac:dyDescent="0.25">
      <c r="B53" s="27" t="s">
        <v>102</v>
      </c>
      <c r="C53" s="49">
        <f>C52+C49</f>
        <v>0</v>
      </c>
      <c r="D53" s="147">
        <v>0</v>
      </c>
    </row>
    <row r="54" spans="2:5" x14ac:dyDescent="0.2">
      <c r="B54" s="27" t="s">
        <v>18</v>
      </c>
      <c r="C54" s="49">
        <f>C51+C53</f>
        <v>400000</v>
      </c>
      <c r="D54" s="68" t="s">
        <v>36</v>
      </c>
    </row>
    <row r="55" spans="2:5" ht="16" thickBot="1" x14ac:dyDescent="0.25">
      <c r="B55" s="28" t="s">
        <v>21</v>
      </c>
      <c r="C55" s="49">
        <f>IF(C44="Single",R17,IF(C44="Married-Joint",K17,"Filing Status?"))</f>
        <v>81195.419999999984</v>
      </c>
      <c r="D55" s="129">
        <f>D51*(1-D53)</f>
        <v>40000</v>
      </c>
    </row>
    <row r="56" spans="2:5" x14ac:dyDescent="0.2">
      <c r="B56" s="28" t="s">
        <v>124</v>
      </c>
      <c r="C56" s="49">
        <f>IF(C44="Single",R28,IF(C44="Married-Joint",K28,"Filing Status?"))</f>
        <v>0</v>
      </c>
      <c r="D56" s="68" t="s">
        <v>7</v>
      </c>
    </row>
    <row r="57" spans="2:5" ht="16" thickBot="1" x14ac:dyDescent="0.25">
      <c r="B57" s="28" t="s">
        <v>22</v>
      </c>
      <c r="C57" s="52">
        <f>IF(C44="Single",R42,IF(C44="Married-Joint",K42,"Filing Status?"))</f>
        <v>12000</v>
      </c>
      <c r="D57" s="90">
        <v>0</v>
      </c>
    </row>
    <row r="58" spans="2:5" x14ac:dyDescent="0.2">
      <c r="B58" s="27" t="s">
        <v>24</v>
      </c>
      <c r="C58" s="50">
        <f>SUM(C55:C57)+J45</f>
        <v>93195.419999999984</v>
      </c>
      <c r="D58" s="3" t="s">
        <v>40</v>
      </c>
    </row>
    <row r="59" spans="2:5" ht="16" thickBot="1" x14ac:dyDescent="0.25">
      <c r="B59" s="26" t="s">
        <v>25</v>
      </c>
      <c r="C59" s="59">
        <f>C58/SUM(C51:C52)</f>
        <v>0.23298854999999996</v>
      </c>
      <c r="D59" s="5">
        <f>SUM(D55,D57)</f>
        <v>40000</v>
      </c>
    </row>
    <row r="60" spans="2:5" x14ac:dyDescent="0.2">
      <c r="B60" s="26"/>
      <c r="C60" s="55"/>
    </row>
    <row r="61" spans="2:5" x14ac:dyDescent="0.2">
      <c r="B61" s="26" t="s">
        <v>37</v>
      </c>
      <c r="C61" s="51">
        <f>IF('DB comparison'!L9="",IF(C44="Married-Joint", (K7+K22),IF(C44="Single",(R7+R22),"Filing Status?"))*D45,'DB comparison'!L9)</f>
        <v>200000</v>
      </c>
    </row>
    <row r="62" spans="2:5" x14ac:dyDescent="0.2">
      <c r="B62" s="26" t="s">
        <v>39</v>
      </c>
      <c r="C62" s="51">
        <f>C61*(1/D45)*(1-D45)</f>
        <v>200000</v>
      </c>
    </row>
    <row r="63" spans="2:5" x14ac:dyDescent="0.2">
      <c r="B63" s="27" t="s">
        <v>41</v>
      </c>
      <c r="C63" s="52">
        <f>IF(C44="Single",S17,IF(C44="Married-Joint",L17,"Filing Status?"))</f>
        <v>33423.659999999996</v>
      </c>
    </row>
    <row r="64" spans="2:5" x14ac:dyDescent="0.2">
      <c r="B64" s="27" t="s">
        <v>42</v>
      </c>
      <c r="C64" s="56">
        <f>IF(C44="Single",S42,IF(C44="Married-Joint",L42,"Filing Status?"))</f>
        <v>12000</v>
      </c>
    </row>
    <row r="65" spans="2:4" x14ac:dyDescent="0.2">
      <c r="B65" s="27" t="s">
        <v>128</v>
      </c>
      <c r="C65" s="56">
        <f>IF(C44="Single",S28,IF(C44="Married-Joint",L28,"Filing Status?"))</f>
        <v>0</v>
      </c>
    </row>
    <row r="66" spans="2:4" x14ac:dyDescent="0.2">
      <c r="B66" s="27" t="s">
        <v>90</v>
      </c>
      <c r="C66" s="177">
        <f>J45</f>
        <v>0</v>
      </c>
      <c r="D66" s="6"/>
    </row>
    <row r="67" spans="2:4" x14ac:dyDescent="0.2">
      <c r="B67" s="27" t="s">
        <v>43</v>
      </c>
      <c r="C67" s="50">
        <f>SUM(C63:C66)</f>
        <v>45423.659999999996</v>
      </c>
      <c r="D67" s="6"/>
    </row>
    <row r="68" spans="2:4" x14ac:dyDescent="0.2">
      <c r="B68" s="26" t="s">
        <v>25</v>
      </c>
      <c r="C68" s="53">
        <f>(C67+C70)/C54</f>
        <v>0.21355915</v>
      </c>
      <c r="D68" s="6"/>
    </row>
    <row r="69" spans="2:4" x14ac:dyDescent="0.2">
      <c r="B69" s="27" t="s">
        <v>44</v>
      </c>
      <c r="C69" s="52">
        <f>C58-C67</f>
        <v>47771.759999999987</v>
      </c>
      <c r="D69" s="6"/>
    </row>
    <row r="70" spans="2:4" x14ac:dyDescent="0.2">
      <c r="B70" s="47" t="s">
        <v>45</v>
      </c>
      <c r="C70" s="64">
        <f>D59</f>
        <v>40000</v>
      </c>
    </row>
    <row r="71" spans="2:4" ht="16" thickBot="1" x14ac:dyDescent="0.25">
      <c r="B71" s="24" t="s">
        <v>46</v>
      </c>
      <c r="C71" s="54">
        <f>C69-C70</f>
        <v>7771.7599999999875</v>
      </c>
      <c r="D71" s="4"/>
    </row>
    <row r="73" spans="2:4" ht="16" thickBot="1" x14ac:dyDescent="0.25"/>
    <row r="74" spans="2:4" x14ac:dyDescent="0.2">
      <c r="B74" s="459" t="s">
        <v>92</v>
      </c>
      <c r="C74" s="460"/>
    </row>
    <row r="75" spans="2:4" x14ac:dyDescent="0.2">
      <c r="B75" s="9" t="s">
        <v>198</v>
      </c>
      <c r="C75" s="135">
        <f>'DB Only'!C18</f>
        <v>98895.419999999984</v>
      </c>
    </row>
    <row r="76" spans="2:4" x14ac:dyDescent="0.2">
      <c r="B76" s="9" t="s">
        <v>126</v>
      </c>
      <c r="C76" s="135">
        <f>C33</f>
        <v>93195.419999999984</v>
      </c>
    </row>
    <row r="77" spans="2:4" x14ac:dyDescent="0.2">
      <c r="B77" s="9" t="s">
        <v>127</v>
      </c>
      <c r="C77" s="135">
        <f>C67</f>
        <v>45423.659999999996</v>
      </c>
    </row>
    <row r="78" spans="2:4" x14ac:dyDescent="0.2">
      <c r="B78" s="9" t="s">
        <v>129</v>
      </c>
      <c r="C78" s="135">
        <f>D59+D12+E12+D14+E14+D16</f>
        <v>40000</v>
      </c>
    </row>
    <row r="79" spans="2:4" x14ac:dyDescent="0.2">
      <c r="B79" s="9" t="s">
        <v>65</v>
      </c>
      <c r="C79" s="135">
        <f>D20+E20</f>
        <v>0</v>
      </c>
    </row>
    <row r="80" spans="2:4" x14ac:dyDescent="0.2">
      <c r="B80" s="9" t="s">
        <v>64</v>
      </c>
      <c r="C80" s="135">
        <f>C75-C77-C78-C79</f>
        <v>13471.759999999987</v>
      </c>
    </row>
    <row r="81" spans="2:3" x14ac:dyDescent="0.2">
      <c r="B81" s="9" t="s">
        <v>120</v>
      </c>
      <c r="C81" s="135">
        <f>C80+C79</f>
        <v>13471.759999999987</v>
      </c>
    </row>
    <row r="82" spans="2:3" ht="16" thickBot="1" x14ac:dyDescent="0.25">
      <c r="B82" s="15" t="s">
        <v>25</v>
      </c>
      <c r="C82" s="216">
        <f>SUM(C77:C78)/C15</f>
        <v>0.21355915</v>
      </c>
    </row>
  </sheetData>
  <mergeCells count="16">
    <mergeCell ref="B1:E1"/>
    <mergeCell ref="G6:I6"/>
    <mergeCell ref="N6:P6"/>
    <mergeCell ref="D15:E15"/>
    <mergeCell ref="D16:E16"/>
    <mergeCell ref="J16:L16"/>
    <mergeCell ref="J41:L41"/>
    <mergeCell ref="Q41:S41"/>
    <mergeCell ref="B74:C74"/>
    <mergeCell ref="Q16:S16"/>
    <mergeCell ref="G21:I21"/>
    <mergeCell ref="N21:P21"/>
    <mergeCell ref="J27:L27"/>
    <mergeCell ref="Q27:S27"/>
    <mergeCell ref="G32:I32"/>
    <mergeCell ref="N32:P3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7F40-C868-9E4F-8B55-A1CD7AC374D2}">
  <dimension ref="B1:U82"/>
  <sheetViews>
    <sheetView topLeftCell="A3" zoomScaleNormal="100" workbookViewId="0">
      <selection activeCell="C25" sqref="C25"/>
    </sheetView>
  </sheetViews>
  <sheetFormatPr baseColWidth="10" defaultColWidth="8.83203125" defaultRowHeight="15" x14ac:dyDescent="0.2"/>
  <cols>
    <col min="1" max="1" width="5.33203125" customWidth="1"/>
    <col min="2" max="2" width="28.33203125" bestFit="1" customWidth="1"/>
    <col min="3" max="3" width="19.83203125" customWidth="1"/>
    <col min="4" max="4" width="21.33203125" customWidth="1"/>
    <col min="5" max="5" width="19.6640625" bestFit="1" customWidth="1"/>
    <col min="6" max="6" width="19.5" customWidth="1"/>
    <col min="7" max="7" width="12.6640625" bestFit="1" customWidth="1"/>
    <col min="8" max="8" width="18.83203125" bestFit="1" customWidth="1"/>
    <col min="9" max="9" width="14.1640625" bestFit="1" customWidth="1"/>
    <col min="10" max="10" width="19.1640625" customWidth="1"/>
    <col min="11" max="11" width="17.33203125" bestFit="1" customWidth="1"/>
    <col min="12" max="12" width="17.33203125" customWidth="1"/>
    <col min="13" max="13" width="13.1640625" customWidth="1"/>
    <col min="14" max="14" width="12.6640625" bestFit="1" customWidth="1"/>
    <col min="15" max="15" width="18.83203125" bestFit="1" customWidth="1"/>
    <col min="16" max="16" width="12.6640625" bestFit="1" customWidth="1"/>
    <col min="17" max="17" width="13.5" bestFit="1" customWidth="1"/>
    <col min="18" max="18" width="15.5" customWidth="1"/>
    <col min="19" max="19" width="19.6640625" customWidth="1"/>
    <col min="20" max="20" width="12.5" bestFit="1" customWidth="1"/>
    <col min="23" max="24" width="13" bestFit="1" customWidth="1"/>
    <col min="26" max="27" width="14.6640625" bestFit="1" customWidth="1"/>
  </cols>
  <sheetData>
    <row r="1" spans="2:21" ht="27" thickBot="1" x14ac:dyDescent="0.35">
      <c r="B1" s="456" t="s">
        <v>47</v>
      </c>
      <c r="C1" s="457"/>
      <c r="D1" s="457"/>
      <c r="E1" s="458"/>
    </row>
    <row r="3" spans="2:21" ht="16" thickBot="1" x14ac:dyDescent="0.25"/>
    <row r="4" spans="2:21" ht="16" thickBot="1" x14ac:dyDescent="0.25">
      <c r="B4" s="48"/>
      <c r="C4" s="25"/>
      <c r="D4" s="57" t="s">
        <v>3</v>
      </c>
      <c r="E4" s="57" t="s">
        <v>3</v>
      </c>
      <c r="F4" s="78"/>
      <c r="G4" s="203" t="s">
        <v>106</v>
      </c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9"/>
    </row>
    <row r="5" spans="2:21" ht="16" thickBot="1" x14ac:dyDescent="0.25">
      <c r="B5" s="27" t="s">
        <v>13</v>
      </c>
      <c r="C5" s="76" t="str">
        <f>'Strategy comparison'!C4</f>
        <v>Married-Joint</v>
      </c>
      <c r="D5" s="58" t="s">
        <v>0</v>
      </c>
      <c r="E5" s="58" t="s">
        <v>5</v>
      </c>
      <c r="F5" s="85"/>
      <c r="G5" s="96"/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97"/>
    </row>
    <row r="6" spans="2:21" ht="16" thickBot="1" x14ac:dyDescent="0.25">
      <c r="B6" s="28" t="s">
        <v>14</v>
      </c>
      <c r="C6" s="49">
        <f>'Strategy comparison'!C5+'Roth comparison'!C2</f>
        <v>850000</v>
      </c>
      <c r="D6" s="42">
        <v>1</v>
      </c>
      <c r="E6" s="42">
        <v>1</v>
      </c>
      <c r="F6" s="71"/>
      <c r="G6" s="419" t="s">
        <v>17</v>
      </c>
      <c r="H6" s="420"/>
      <c r="I6" s="421"/>
      <c r="J6" s="7" t="s">
        <v>121</v>
      </c>
      <c r="K6" s="7" t="s">
        <v>122</v>
      </c>
      <c r="L6" s="7" t="s">
        <v>123</v>
      </c>
      <c r="M6" s="97"/>
      <c r="N6" s="419" t="s">
        <v>19</v>
      </c>
      <c r="O6" s="420"/>
      <c r="P6" s="421"/>
      <c r="Q6" s="7" t="s">
        <v>121</v>
      </c>
      <c r="R6" s="7" t="s">
        <v>122</v>
      </c>
      <c r="S6" s="7" t="s">
        <v>123</v>
      </c>
    </row>
    <row r="7" spans="2:21" ht="16" thickBot="1" x14ac:dyDescent="0.25">
      <c r="B7" s="28" t="s">
        <v>15</v>
      </c>
      <c r="C7" s="49">
        <f>'Strategy comparison'!C6</f>
        <v>0</v>
      </c>
      <c r="D7" s="61" t="s">
        <v>48</v>
      </c>
      <c r="E7" s="61" t="s">
        <v>48</v>
      </c>
      <c r="F7" s="86"/>
      <c r="G7" s="30"/>
      <c r="H7" s="31"/>
      <c r="I7" s="32"/>
      <c r="J7" s="69">
        <f>C12</f>
        <v>850000</v>
      </c>
      <c r="K7" s="69">
        <f>C12-C23</f>
        <v>850000</v>
      </c>
      <c r="L7" s="230">
        <f>K7-MIN(K7,C61)</f>
        <v>425000</v>
      </c>
      <c r="M7" s="97"/>
      <c r="N7" s="30"/>
      <c r="O7" s="31"/>
      <c r="P7" s="32"/>
      <c r="Q7" s="39">
        <f>J7</f>
        <v>850000</v>
      </c>
      <c r="R7" s="33">
        <f>K7</f>
        <v>850000</v>
      </c>
      <c r="S7" s="230">
        <f>L7</f>
        <v>425000</v>
      </c>
    </row>
    <row r="8" spans="2:21" ht="16" thickBot="1" x14ac:dyDescent="0.25">
      <c r="B8" s="28" t="s">
        <v>49</v>
      </c>
      <c r="C8" s="49">
        <f>'Strategy comparison'!C7</f>
        <v>0</v>
      </c>
      <c r="D8" s="62" t="s">
        <v>30</v>
      </c>
      <c r="E8" s="62" t="s">
        <v>30</v>
      </c>
      <c r="F8" s="86"/>
      <c r="G8" s="36">
        <f>'Tax Tables'!B6</f>
        <v>0</v>
      </c>
      <c r="H8" s="43">
        <f>'Tax Tables'!C6</f>
        <v>24800</v>
      </c>
      <c r="I8" s="37">
        <f>'Tax Tables'!D6</f>
        <v>0.1</v>
      </c>
      <c r="J8" s="38">
        <f t="shared" ref="J8:J13" si="0">IF(IF(J$7&gt;H8,(H8-G8)*I8,(J$7-G8)*I8)&gt;0,IF(J$7&gt;H8,(H8-G8)*I8,(J$7-G8)*I8),0)</f>
        <v>2480</v>
      </c>
      <c r="K8" s="38">
        <f t="shared" ref="K8:K13" si="1">IF(IF(K$7&gt;H8,(H8-G8)*I8,(K$7-G8)*I8)&gt;0,IF(K$7&gt;H8,(H8-G8)*I8,(K$7-G8)*I8),0)</f>
        <v>2480</v>
      </c>
      <c r="L8" s="38">
        <f>IF(IF(L$7&gt;H8,(H8-G8)*I8,(L$7-G8)*I8)&gt;0,IF(L$7&gt;H8,(H8-G8)*I8,(L$7-G8)*I8),0)</f>
        <v>2480</v>
      </c>
      <c r="M8" s="97"/>
      <c r="N8" s="34">
        <f>'Tax Tables'!F6</f>
        <v>0</v>
      </c>
      <c r="O8" s="44">
        <f>'Tax Tables'!G6</f>
        <v>12400</v>
      </c>
      <c r="P8" s="10">
        <f>'Tax Tables'!H6</f>
        <v>0.1</v>
      </c>
      <c r="Q8" s="38">
        <f t="shared" ref="Q8:Q13" si="2">IF(IF(Q$7&gt;O8,(O8-N8)*P8,(Q$7-N8)*P8)&gt;0,IF(Q$7&gt;O8,(O8-N8)*P8,(Q$7-N8)*P8),0)</f>
        <v>1240</v>
      </c>
      <c r="R8" s="38">
        <f t="shared" ref="R8:R13" si="3">IF(IF(R$7&gt;O8,(O8-N8)*P8,(R$7-N8)*P8)&gt;0,IF(R$7&gt;O8,(O8-N8)*P8,(R$7-N8)*P8),0)</f>
        <v>1240</v>
      </c>
      <c r="S8" s="38">
        <f>IF(IF(S$7&gt;O8,(O8-N8)*P8,(S$7-N8)*P8)&gt;0,IF(S$7&gt;O8,(O8-N8)*P8,(S$7-N8)*P8),0)</f>
        <v>1240</v>
      </c>
    </row>
    <row r="9" spans="2:21" ht="16" thickBot="1" x14ac:dyDescent="0.25">
      <c r="B9" s="27" t="s">
        <v>96</v>
      </c>
      <c r="C9" s="49">
        <f>'Strategy comparison'!C9</f>
        <v>0</v>
      </c>
      <c r="D9" s="63">
        <v>8</v>
      </c>
      <c r="E9" s="63">
        <v>10</v>
      </c>
      <c r="F9" s="1"/>
      <c r="G9" s="34">
        <f>'Tax Tables'!B7</f>
        <v>24801</v>
      </c>
      <c r="H9" s="44">
        <f>'Tax Tables'!C7</f>
        <v>100800</v>
      </c>
      <c r="I9" s="10">
        <f>'Tax Tables'!D7</f>
        <v>0.12</v>
      </c>
      <c r="J9" s="11">
        <f t="shared" si="0"/>
        <v>9119.8799999999992</v>
      </c>
      <c r="K9" s="11">
        <f t="shared" si="1"/>
        <v>9119.8799999999992</v>
      </c>
      <c r="L9" s="38">
        <f t="shared" ref="L9:L14" si="4">IF(IF(L$7&gt;H9,(H9-G9)*I9,(L$7-G9)*I9)&gt;0,IF(L$7&gt;H9,(H9-G9)*I9,(L$7-G9)*I9),0)</f>
        <v>9119.8799999999992</v>
      </c>
      <c r="M9" s="97"/>
      <c r="N9" s="34">
        <f>'Tax Tables'!F7</f>
        <v>12401</v>
      </c>
      <c r="O9" s="44">
        <f>'Tax Tables'!G7</f>
        <v>50400</v>
      </c>
      <c r="P9" s="10">
        <f>'Tax Tables'!H7</f>
        <v>0.12</v>
      </c>
      <c r="Q9" s="11">
        <f t="shared" si="2"/>
        <v>4559.88</v>
      </c>
      <c r="R9" s="11">
        <f t="shared" si="3"/>
        <v>4559.88</v>
      </c>
      <c r="S9" s="38">
        <f t="shared" ref="S9:S14" si="5">IF(IF(S$7&gt;O9,(O9-N9)*P9,(S$7-N9)*P9)&gt;0,IF(S$7&gt;O9,(O9-N9)*P9,(S$7-N9)*P9),0)</f>
        <v>4559.88</v>
      </c>
    </row>
    <row r="10" spans="2:21" ht="16" thickBot="1" x14ac:dyDescent="0.25">
      <c r="B10" s="27" t="s">
        <v>98</v>
      </c>
      <c r="C10" s="49">
        <f>'Strategy comparison'!C10</f>
        <v>0</v>
      </c>
      <c r="D10" s="2" t="s">
        <v>51</v>
      </c>
      <c r="E10" s="2" t="s">
        <v>51</v>
      </c>
      <c r="F10" s="79"/>
      <c r="G10" s="34">
        <f>'Tax Tables'!B8</f>
        <v>100801</v>
      </c>
      <c r="H10" s="44">
        <f>'Tax Tables'!C8</f>
        <v>211400</v>
      </c>
      <c r="I10" s="10">
        <f>'Tax Tables'!D8</f>
        <v>0.22</v>
      </c>
      <c r="J10" s="11">
        <f t="shared" si="0"/>
        <v>24331.78</v>
      </c>
      <c r="K10" s="11">
        <f t="shared" si="1"/>
        <v>24331.78</v>
      </c>
      <c r="L10" s="38">
        <f t="shared" si="4"/>
        <v>24331.78</v>
      </c>
      <c r="M10" s="97"/>
      <c r="N10" s="34">
        <f>'Tax Tables'!F8</f>
        <v>50401</v>
      </c>
      <c r="O10" s="44">
        <f>'Tax Tables'!G8</f>
        <v>105700</v>
      </c>
      <c r="P10" s="10">
        <f>'Tax Tables'!H8</f>
        <v>0.22</v>
      </c>
      <c r="Q10" s="11">
        <f t="shared" si="2"/>
        <v>12165.78</v>
      </c>
      <c r="R10" s="11">
        <f t="shared" si="3"/>
        <v>12165.78</v>
      </c>
      <c r="S10" s="38">
        <f t="shared" si="5"/>
        <v>12165.78</v>
      </c>
    </row>
    <row r="11" spans="2:21" ht="16" thickBot="1" x14ac:dyDescent="0.25">
      <c r="B11" s="27" t="s">
        <v>97</v>
      </c>
      <c r="C11" s="49">
        <f>'Strategy comparison'!C11</f>
        <v>0</v>
      </c>
      <c r="D11" s="3" t="s">
        <v>52</v>
      </c>
      <c r="E11" s="3" t="s">
        <v>52</v>
      </c>
      <c r="F11" s="79"/>
      <c r="G11" s="34">
        <f>'Tax Tables'!B9</f>
        <v>211401</v>
      </c>
      <c r="H11" s="44">
        <f>'Tax Tables'!C9</f>
        <v>403550</v>
      </c>
      <c r="I11" s="10">
        <f>'Tax Tables'!D9</f>
        <v>0.24</v>
      </c>
      <c r="J11" s="11">
        <f t="shared" si="0"/>
        <v>46115.759999999995</v>
      </c>
      <c r="K11" s="11">
        <f t="shared" si="1"/>
        <v>46115.759999999995</v>
      </c>
      <c r="L11" s="38">
        <f t="shared" si="4"/>
        <v>46115.759999999995</v>
      </c>
      <c r="M11" s="97"/>
      <c r="N11" s="34">
        <f>'Tax Tables'!F9</f>
        <v>105701</v>
      </c>
      <c r="O11" s="44">
        <f>'Tax Tables'!G9</f>
        <v>201775</v>
      </c>
      <c r="P11" s="10">
        <f>'Tax Tables'!H9</f>
        <v>0.24</v>
      </c>
      <c r="Q11" s="11">
        <f t="shared" si="2"/>
        <v>23057.759999999998</v>
      </c>
      <c r="R11" s="11">
        <f t="shared" si="3"/>
        <v>23057.759999999998</v>
      </c>
      <c r="S11" s="38">
        <f t="shared" si="5"/>
        <v>23057.759999999998</v>
      </c>
    </row>
    <row r="12" spans="2:21" ht="16" thickBot="1" x14ac:dyDescent="0.25">
      <c r="B12" s="28" t="s">
        <v>100</v>
      </c>
      <c r="C12" s="49">
        <f>SUM(C6:C9)+C11</f>
        <v>850000</v>
      </c>
      <c r="D12" s="129">
        <f>C23/D9</f>
        <v>0</v>
      </c>
      <c r="E12" s="5">
        <f>C24/E9</f>
        <v>0</v>
      </c>
      <c r="F12" s="87"/>
      <c r="G12" s="34">
        <f>'Tax Tables'!B10</f>
        <v>403551</v>
      </c>
      <c r="H12" s="44">
        <f>'Tax Tables'!C10</f>
        <v>512450</v>
      </c>
      <c r="I12" s="10">
        <f>'Tax Tables'!D10</f>
        <v>0.32</v>
      </c>
      <c r="J12" s="11">
        <f t="shared" si="0"/>
        <v>34847.68</v>
      </c>
      <c r="K12" s="11">
        <f t="shared" si="1"/>
        <v>34847.68</v>
      </c>
      <c r="L12" s="38">
        <f t="shared" si="4"/>
        <v>6863.68</v>
      </c>
      <c r="M12" s="97"/>
      <c r="N12" s="34">
        <f>'Tax Tables'!F10</f>
        <v>201776</v>
      </c>
      <c r="O12" s="44">
        <f>'Tax Tables'!G10</f>
        <v>256225</v>
      </c>
      <c r="P12" s="10">
        <f>'Tax Tables'!H10</f>
        <v>0.32</v>
      </c>
      <c r="Q12" s="11">
        <f t="shared" si="2"/>
        <v>17423.68</v>
      </c>
      <c r="R12" s="11">
        <f t="shared" si="3"/>
        <v>17423.68</v>
      </c>
      <c r="S12" s="38">
        <f t="shared" si="5"/>
        <v>17423.68</v>
      </c>
    </row>
    <row r="13" spans="2:21" ht="16" thickBot="1" x14ac:dyDescent="0.25">
      <c r="B13" s="28" t="s">
        <v>20</v>
      </c>
      <c r="C13" s="49">
        <f>'Strategy comparison'!C8</f>
        <v>0</v>
      </c>
      <c r="D13" s="3" t="s">
        <v>53</v>
      </c>
      <c r="E13" s="3" t="s">
        <v>54</v>
      </c>
      <c r="F13" s="79"/>
      <c r="G13" s="34">
        <f>'Tax Tables'!B11</f>
        <v>512451</v>
      </c>
      <c r="H13" s="44">
        <f>'Tax Tables'!C11</f>
        <v>768700</v>
      </c>
      <c r="I13" s="10">
        <f>'Tax Tables'!D11</f>
        <v>0.35</v>
      </c>
      <c r="J13" s="11">
        <f t="shared" si="0"/>
        <v>89687.15</v>
      </c>
      <c r="K13" s="11">
        <f t="shared" si="1"/>
        <v>89687.15</v>
      </c>
      <c r="L13" s="38">
        <f t="shared" si="4"/>
        <v>0</v>
      </c>
      <c r="M13" s="97"/>
      <c r="N13" s="34">
        <f>'Tax Tables'!F11</f>
        <v>256226</v>
      </c>
      <c r="O13" s="44">
        <f>'Tax Tables'!G11</f>
        <v>640600</v>
      </c>
      <c r="P13" s="10">
        <f>'Tax Tables'!H11</f>
        <v>0.35</v>
      </c>
      <c r="Q13" s="11">
        <f t="shared" si="2"/>
        <v>134530.9</v>
      </c>
      <c r="R13" s="11">
        <f t="shared" si="3"/>
        <v>134530.9</v>
      </c>
      <c r="S13" s="38">
        <f t="shared" si="5"/>
        <v>59070.899999999994</v>
      </c>
    </row>
    <row r="14" spans="2:21" ht="16" thickBot="1" x14ac:dyDescent="0.25">
      <c r="B14" s="28" t="s">
        <v>102</v>
      </c>
      <c r="C14" s="49">
        <f>C13+C10</f>
        <v>0</v>
      </c>
      <c r="D14" s="5">
        <f>C23*0.05</f>
        <v>0</v>
      </c>
      <c r="E14" s="5">
        <f>C24*0.05</f>
        <v>0</v>
      </c>
      <c r="F14" s="87"/>
      <c r="G14" s="35">
        <f>'Tax Tables'!B12</f>
        <v>768701</v>
      </c>
      <c r="H14" s="45">
        <f>'Tax Tables'!C12</f>
        <v>99999999999</v>
      </c>
      <c r="I14" s="13">
        <f>'Tax Tables'!D12</f>
        <v>0.37</v>
      </c>
      <c r="J14" s="14">
        <f>IF(J7&gt;=G14,(J7-G14)*I14,0)</f>
        <v>30080.63</v>
      </c>
      <c r="K14" s="14">
        <f>IF(K7&gt;=G14,(K7-G14)*I14,0)</f>
        <v>30080.63</v>
      </c>
      <c r="L14" s="38">
        <f t="shared" si="4"/>
        <v>0</v>
      </c>
      <c r="M14" s="97"/>
      <c r="N14" s="35">
        <f>'Tax Tables'!F12</f>
        <v>640601</v>
      </c>
      <c r="O14" s="45">
        <f>'Tax Tables'!G12</f>
        <v>99999999999</v>
      </c>
      <c r="P14" s="13">
        <f>'Tax Tables'!H12</f>
        <v>0.37</v>
      </c>
      <c r="Q14" s="14">
        <f>IF(Q7&gt;=N14,(Q7-N14)*P14,0)</f>
        <v>77477.63</v>
      </c>
      <c r="R14" s="14">
        <f>IF(R7&gt;=N14,(R7-N14)*P14,0)</f>
        <v>77477.63</v>
      </c>
      <c r="S14" s="231">
        <f t="shared" si="5"/>
        <v>0</v>
      </c>
    </row>
    <row r="15" spans="2:21" ht="16" thickBot="1" x14ac:dyDescent="0.25">
      <c r="B15" s="28" t="s">
        <v>18</v>
      </c>
      <c r="C15" s="49">
        <f>C12+C14</f>
        <v>850000</v>
      </c>
      <c r="D15" s="452" t="s">
        <v>27</v>
      </c>
      <c r="E15" s="453"/>
      <c r="F15" s="127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8"/>
      <c r="S15" s="97"/>
    </row>
    <row r="16" spans="2:21" ht="16" thickBot="1" x14ac:dyDescent="0.25">
      <c r="B16" s="28" t="s">
        <v>21</v>
      </c>
      <c r="C16" s="49">
        <f>IF(C5="Single",Q17,IF(C5="Married-Joint",J17,"Filing Status?"))</f>
        <v>236662.87999999998</v>
      </c>
      <c r="D16" s="454">
        <f>'Strategy comparison'!C12</f>
        <v>0</v>
      </c>
      <c r="E16" s="455"/>
      <c r="F16" s="87"/>
      <c r="G16" s="96"/>
      <c r="H16" s="97"/>
      <c r="I16" s="97"/>
      <c r="J16" s="422" t="s">
        <v>26</v>
      </c>
      <c r="K16" s="443"/>
      <c r="L16" s="423"/>
      <c r="M16" s="104" t="s">
        <v>38</v>
      </c>
      <c r="N16" s="196"/>
      <c r="O16" s="97"/>
      <c r="P16" s="97"/>
      <c r="Q16" s="422" t="s">
        <v>26</v>
      </c>
      <c r="R16" s="443"/>
      <c r="S16" s="423"/>
      <c r="T16" s="104" t="s">
        <v>38</v>
      </c>
      <c r="U16" s="196"/>
    </row>
    <row r="17" spans="2:21" ht="16" thickBot="1" x14ac:dyDescent="0.25">
      <c r="B17" s="28" t="s">
        <v>22</v>
      </c>
      <c r="C17" s="52">
        <f>IF(C5="Single",Q42,IF(C5="Married-Joint",J42,"Filing Status?"))</f>
        <v>25500</v>
      </c>
      <c r="D17" s="3" t="s">
        <v>55</v>
      </c>
      <c r="E17" s="3" t="s">
        <v>55</v>
      </c>
      <c r="F17" s="79"/>
      <c r="G17" s="101"/>
      <c r="H17" s="100"/>
      <c r="I17" s="100"/>
      <c r="J17" s="106">
        <f>SUM(J8:J14)</f>
        <v>236662.87999999998</v>
      </c>
      <c r="K17" s="106">
        <f>SUM(K8:K14)</f>
        <v>236662.87999999998</v>
      </c>
      <c r="L17" s="106">
        <f>SUM(L8:L14)</f>
        <v>88911.099999999977</v>
      </c>
      <c r="M17" s="107">
        <f>J17-L17</f>
        <v>147751.78</v>
      </c>
      <c r="N17" s="197"/>
      <c r="O17" s="100"/>
      <c r="P17" s="100"/>
      <c r="Q17" s="106">
        <f>SUM(Q8:Q14)</f>
        <v>270455.63</v>
      </c>
      <c r="R17" s="106">
        <f>SUM(R8:R14)</f>
        <v>270455.63</v>
      </c>
      <c r="S17" s="106">
        <f>SUM(S8:S14)</f>
        <v>117518</v>
      </c>
      <c r="T17" s="107">
        <f>Q17-S17</f>
        <v>152937.63</v>
      </c>
      <c r="U17" s="200"/>
    </row>
    <row r="18" spans="2:21" ht="16" thickBot="1" x14ac:dyDescent="0.25">
      <c r="B18" s="28" t="s">
        <v>23</v>
      </c>
      <c r="C18" s="52">
        <f>IF(C5="Single",Q28,IF(C5="Married-Joint",J28,"Filing Status?"))</f>
        <v>0</v>
      </c>
      <c r="D18" s="5">
        <f>D12+D14</f>
        <v>0</v>
      </c>
      <c r="E18" s="5">
        <f>E12+E14+D16</f>
        <v>0</v>
      </c>
      <c r="F18" s="87"/>
      <c r="G18" s="6"/>
    </row>
    <row r="19" spans="2:21" x14ac:dyDescent="0.2">
      <c r="B19" s="28" t="s">
        <v>90</v>
      </c>
      <c r="C19" s="178">
        <f>J45</f>
        <v>6650</v>
      </c>
      <c r="D19" s="3" t="s">
        <v>58</v>
      </c>
      <c r="E19" s="3" t="s">
        <v>58</v>
      </c>
      <c r="G19" s="206" t="s">
        <v>105</v>
      </c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8"/>
      <c r="S19" s="201"/>
    </row>
    <row r="20" spans="2:21" ht="16" thickBot="1" x14ac:dyDescent="0.25">
      <c r="B20" s="27" t="s">
        <v>24</v>
      </c>
      <c r="C20" s="50">
        <f>SUM(C16:C19)</f>
        <v>268812.88</v>
      </c>
      <c r="D20" s="5">
        <f>D12*0.6</f>
        <v>0</v>
      </c>
      <c r="E20" s="5">
        <f>E12*0.5</f>
        <v>0</v>
      </c>
      <c r="G20" s="96"/>
      <c r="H20" s="100"/>
      <c r="I20" s="97"/>
      <c r="J20" s="97"/>
      <c r="K20" s="97"/>
      <c r="L20" s="97"/>
      <c r="M20" s="97"/>
      <c r="N20" s="97"/>
      <c r="O20" s="97"/>
      <c r="P20" s="97"/>
      <c r="Q20" s="97"/>
      <c r="R20" s="98"/>
      <c r="S20" s="97"/>
    </row>
    <row r="21" spans="2:21" ht="16" thickBot="1" x14ac:dyDescent="0.25">
      <c r="B21" s="26" t="s">
        <v>25</v>
      </c>
      <c r="C21" s="59">
        <f>C20/C15</f>
        <v>0.31625044705882355</v>
      </c>
      <c r="G21" s="419" t="s">
        <v>17</v>
      </c>
      <c r="H21" s="420"/>
      <c r="I21" s="421"/>
      <c r="J21" s="188" t="s">
        <v>108</v>
      </c>
      <c r="K21" s="189" t="s">
        <v>117</v>
      </c>
      <c r="L21" s="189" t="s">
        <v>118</v>
      </c>
      <c r="M21" s="97"/>
      <c r="N21" s="419" t="s">
        <v>19</v>
      </c>
      <c r="O21" s="420"/>
      <c r="P21" s="421"/>
      <c r="Q21" s="188" t="s">
        <v>108</v>
      </c>
      <c r="R21" s="189" t="s">
        <v>117</v>
      </c>
      <c r="S21" s="189" t="s">
        <v>118</v>
      </c>
    </row>
    <row r="22" spans="2:21" ht="16" thickBot="1" x14ac:dyDescent="0.25">
      <c r="B22" s="26"/>
      <c r="C22" s="55"/>
      <c r="D22" s="6"/>
      <c r="G22" s="30"/>
      <c r="H22" s="31"/>
      <c r="I22" s="32"/>
      <c r="J22" s="73">
        <f>C14</f>
        <v>0</v>
      </c>
      <c r="K22" s="69">
        <f>C27</f>
        <v>0</v>
      </c>
      <c r="L22" s="69">
        <f>K22-IF(C61&gt;K7,C61-K7,0)</f>
        <v>0</v>
      </c>
      <c r="M22" s="97"/>
      <c r="N22" s="30"/>
      <c r="O22" s="31"/>
      <c r="P22" s="32"/>
      <c r="Q22" s="33">
        <f>J22</f>
        <v>0</v>
      </c>
      <c r="R22" s="80">
        <f>K22</f>
        <v>0</v>
      </c>
      <c r="S22" s="69">
        <f>L22</f>
        <v>0</v>
      </c>
    </row>
    <row r="23" spans="2:21" ht="16" thickBot="1" x14ac:dyDescent="0.25">
      <c r="B23" s="27" t="s">
        <v>56</v>
      </c>
      <c r="C23" s="52">
        <f>IF('Roth comparison'!L5="",C7*D6,'Roth comparison'!L5)</f>
        <v>0</v>
      </c>
      <c r="G23" s="36">
        <f>'Tax Tables'!B18</f>
        <v>0</v>
      </c>
      <c r="H23" s="43">
        <f>'Tax Tables'!C18</f>
        <v>98900</v>
      </c>
      <c r="I23" s="70">
        <f>'Tax Tables'!D18</f>
        <v>0</v>
      </c>
      <c r="J23" s="38">
        <f t="shared" ref="J23:L25" si="6">IF(J$22&gt;$H23,($H23-$G23)*$I23,MAX((J$22-$G23),0)*$I23)</f>
        <v>0</v>
      </c>
      <c r="K23" s="213">
        <f t="shared" si="6"/>
        <v>0</v>
      </c>
      <c r="L23" s="213">
        <f t="shared" si="6"/>
        <v>0</v>
      </c>
      <c r="M23" s="97"/>
      <c r="N23" s="34">
        <f>'Tax Tables'!F18</f>
        <v>0</v>
      </c>
      <c r="O23" s="44">
        <f>'Tax Tables'!G18</f>
        <v>49450</v>
      </c>
      <c r="P23" s="10">
        <f>'Tax Tables'!H18</f>
        <v>0</v>
      </c>
      <c r="Q23" s="38">
        <f>IF(Q$22&gt;$O23,($O23-$N23)*$P23,MAX((Q$22-$N23),0)*$P23)</f>
        <v>0</v>
      </c>
      <c r="R23" s="38">
        <f>IF(R$22&gt;$O23,($O23-$N23)*$P23,MAX((R$22-$N23),0)*$P23)</f>
        <v>0</v>
      </c>
      <c r="S23" s="38">
        <f>IF(S$22&gt;$O23,($O23-$N23)*$P23,MAX((S$22-$N23),0)*$P23)</f>
        <v>0</v>
      </c>
    </row>
    <row r="24" spans="2:21" ht="16" thickBot="1" x14ac:dyDescent="0.25">
      <c r="B24" s="27" t="s">
        <v>57</v>
      </c>
      <c r="C24" s="52">
        <f>IF('Roth comparison'!L7="",C13*E6,'Roth comparison'!L7)</f>
        <v>0</v>
      </c>
      <c r="G24" s="34">
        <f>'Tax Tables'!B19</f>
        <v>98901</v>
      </c>
      <c r="H24" s="44">
        <f>'Tax Tables'!C19</f>
        <v>613700</v>
      </c>
      <c r="I24" s="71">
        <f>'Tax Tables'!D19</f>
        <v>0.15</v>
      </c>
      <c r="J24" s="38">
        <f t="shared" si="6"/>
        <v>0</v>
      </c>
      <c r="K24" s="38">
        <f t="shared" si="6"/>
        <v>0</v>
      </c>
      <c r="L24" s="213">
        <f t="shared" si="6"/>
        <v>0</v>
      </c>
      <c r="M24" s="97"/>
      <c r="N24" s="34">
        <f>'Tax Tables'!F19</f>
        <v>49451</v>
      </c>
      <c r="O24" s="44">
        <f>'Tax Tables'!G19</f>
        <v>545500</v>
      </c>
      <c r="P24" s="10">
        <f>'Tax Tables'!H19</f>
        <v>0.15</v>
      </c>
      <c r="Q24" s="38">
        <f t="shared" ref="Q24:S25" si="7">IF(Q$22&gt;$O24,($O24-$N24)*$P24,MAX((Q$22-$N24),0)*$P24)</f>
        <v>0</v>
      </c>
      <c r="R24" s="38">
        <f t="shared" si="7"/>
        <v>0</v>
      </c>
      <c r="S24" s="38">
        <f t="shared" si="7"/>
        <v>0</v>
      </c>
    </row>
    <row r="25" spans="2:21" ht="16" thickBot="1" x14ac:dyDescent="0.25">
      <c r="B25" s="27" t="s">
        <v>112</v>
      </c>
      <c r="C25" s="52">
        <f>C12-C23</f>
        <v>850000</v>
      </c>
      <c r="G25" s="35">
        <f>'Tax Tables'!B20</f>
        <v>613701</v>
      </c>
      <c r="H25" s="45">
        <f>'Tax Tables'!C20</f>
        <v>99999999999</v>
      </c>
      <c r="I25" s="72">
        <f>'Tax Tables'!D20</f>
        <v>0.2</v>
      </c>
      <c r="J25" s="231">
        <f t="shared" si="6"/>
        <v>0</v>
      </c>
      <c r="K25" s="231">
        <f t="shared" si="6"/>
        <v>0</v>
      </c>
      <c r="L25" s="232">
        <f t="shared" si="6"/>
        <v>0</v>
      </c>
      <c r="M25" s="97"/>
      <c r="N25" s="35">
        <f>'Tax Tables'!F20</f>
        <v>545501</v>
      </c>
      <c r="O25" s="45">
        <f>'Tax Tables'!G20</f>
        <v>99999999999</v>
      </c>
      <c r="P25" s="13">
        <f>'Tax Tables'!H20</f>
        <v>0.2</v>
      </c>
      <c r="Q25" s="231">
        <f t="shared" si="7"/>
        <v>0</v>
      </c>
      <c r="R25" s="231">
        <f t="shared" si="7"/>
        <v>0</v>
      </c>
      <c r="S25" s="231">
        <f>IF(S$22&gt;$O25,($O25-$N25)*$P25,MAX((S$22-$N25),0)*$P25)</f>
        <v>0</v>
      </c>
    </row>
    <row r="26" spans="2:21" ht="16" thickBot="1" x14ac:dyDescent="0.25">
      <c r="B26" s="27" t="s">
        <v>59</v>
      </c>
      <c r="C26" s="52">
        <f>C13-C24</f>
        <v>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8"/>
      <c r="S26" s="97"/>
    </row>
    <row r="27" spans="2:21" ht="16" thickBot="1" x14ac:dyDescent="0.25">
      <c r="B27" s="27" t="s">
        <v>104</v>
      </c>
      <c r="C27" s="52">
        <f>C26+C10</f>
        <v>0</v>
      </c>
      <c r="G27" s="96"/>
      <c r="H27" s="97"/>
      <c r="I27" s="97"/>
      <c r="J27" s="422" t="s">
        <v>26</v>
      </c>
      <c r="K27" s="443"/>
      <c r="L27" s="423"/>
      <c r="M27" s="104" t="s">
        <v>38</v>
      </c>
      <c r="N27" s="97"/>
      <c r="O27" s="97"/>
      <c r="P27" s="97"/>
      <c r="Q27" s="422" t="s">
        <v>26</v>
      </c>
      <c r="R27" s="443"/>
      <c r="S27" s="423"/>
      <c r="T27" s="104" t="s">
        <v>38</v>
      </c>
      <c r="U27" s="97"/>
    </row>
    <row r="28" spans="2:21" ht="16" thickBot="1" x14ac:dyDescent="0.25">
      <c r="B28" s="27" t="s">
        <v>60</v>
      </c>
      <c r="C28" s="52">
        <f>IF(C5="Single",R17,IF(C5="Married-Joint",K17,"Filing Status?"))</f>
        <v>236662.87999999998</v>
      </c>
      <c r="G28" s="101"/>
      <c r="H28" s="100"/>
      <c r="I28" s="100"/>
      <c r="J28" s="122">
        <f>SUM(J23:J25)</f>
        <v>0</v>
      </c>
      <c r="K28" s="111">
        <f>SUM(K23:K25)</f>
        <v>0</v>
      </c>
      <c r="L28" s="111">
        <f>SUM(L23:L25)</f>
        <v>0</v>
      </c>
      <c r="M28" s="123">
        <f>J28-L28</f>
        <v>0</v>
      </c>
      <c r="N28" s="198"/>
      <c r="O28" s="100"/>
      <c r="P28" s="100"/>
      <c r="Q28" s="122">
        <f>SUM(Q23:Q25)</f>
        <v>0</v>
      </c>
      <c r="R28" s="111">
        <f>SUM(R23:R25)</f>
        <v>0</v>
      </c>
      <c r="S28" s="111">
        <f>SUM(S23:S25)</f>
        <v>0</v>
      </c>
      <c r="T28" s="124">
        <f>Q28-S28</f>
        <v>0</v>
      </c>
      <c r="U28" s="102"/>
    </row>
    <row r="29" spans="2:21" ht="16" thickBot="1" x14ac:dyDescent="0.25">
      <c r="B29" s="27" t="s">
        <v>42</v>
      </c>
      <c r="C29" s="56">
        <f>IF(C5="Single",R42,IF(C5="Married-Joint",K42,"Filing Status?"))</f>
        <v>25500</v>
      </c>
      <c r="M29" s="97"/>
    </row>
    <row r="30" spans="2:21" x14ac:dyDescent="0.2">
      <c r="B30" s="27" t="s">
        <v>61</v>
      </c>
      <c r="C30" s="56">
        <f>IF(C5="Single",R28,IF(C5="Married-Joint",K28,"Filing Status?"))</f>
        <v>0</v>
      </c>
      <c r="D30" s="6"/>
      <c r="G30" s="209" t="s">
        <v>107</v>
      </c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1"/>
      <c r="S30" s="202"/>
    </row>
    <row r="31" spans="2:21" ht="16" thickBot="1" x14ac:dyDescent="0.25">
      <c r="B31" s="27" t="s">
        <v>90</v>
      </c>
      <c r="C31" s="177">
        <f>J45</f>
        <v>6650</v>
      </c>
      <c r="D31" s="6"/>
      <c r="E31" s="6"/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97"/>
    </row>
    <row r="32" spans="2:21" ht="16" thickBot="1" x14ac:dyDescent="0.25">
      <c r="B32" s="27" t="s">
        <v>62</v>
      </c>
      <c r="C32" s="56"/>
      <c r="D32" s="6"/>
      <c r="G32" s="419" t="s">
        <v>17</v>
      </c>
      <c r="H32" s="420"/>
      <c r="I32" s="421"/>
      <c r="J32" s="7" t="s">
        <v>18</v>
      </c>
      <c r="K32" s="7" t="s">
        <v>66</v>
      </c>
      <c r="L32" s="7" t="s">
        <v>119</v>
      </c>
      <c r="M32" s="97"/>
      <c r="N32" s="419" t="s">
        <v>19</v>
      </c>
      <c r="O32" s="420"/>
      <c r="P32" s="421"/>
      <c r="Q32" s="7" t="s">
        <v>18</v>
      </c>
      <c r="R32" s="7" t="s">
        <v>50</v>
      </c>
      <c r="S32" s="7" t="s">
        <v>119</v>
      </c>
    </row>
    <row r="33" spans="2:21" ht="16" thickBot="1" x14ac:dyDescent="0.25">
      <c r="B33" s="27" t="s">
        <v>43</v>
      </c>
      <c r="C33" s="50">
        <f>SUM(C28:C32)</f>
        <v>268812.88</v>
      </c>
      <c r="G33" s="9"/>
      <c r="J33" s="73">
        <f>C15</f>
        <v>850000</v>
      </c>
      <c r="K33" s="73">
        <f>J33-SUM(C7,C13)</f>
        <v>850000</v>
      </c>
      <c r="L33" s="69">
        <f>K33</f>
        <v>850000</v>
      </c>
      <c r="M33" s="97"/>
      <c r="N33" s="9"/>
      <c r="Q33" s="20">
        <f>J33</f>
        <v>850000</v>
      </c>
      <c r="R33" s="121">
        <f>K33</f>
        <v>850000</v>
      </c>
      <c r="S33" s="69">
        <f>L33</f>
        <v>850000</v>
      </c>
    </row>
    <row r="34" spans="2:21" ht="16" thickBot="1" x14ac:dyDescent="0.25">
      <c r="B34" s="26" t="s">
        <v>25</v>
      </c>
      <c r="C34" s="53">
        <f>C37/C15</f>
        <v>0.31625044705882355</v>
      </c>
      <c r="G34" s="60">
        <f>'Tax Tables'!B25</f>
        <v>0</v>
      </c>
      <c r="H34" s="65">
        <f>'Tax Tables'!C25</f>
        <v>100000000</v>
      </c>
      <c r="I34" s="67">
        <f>'Tax Tables'!D25</f>
        <v>0.03</v>
      </c>
      <c r="J34" s="36">
        <f>IF(IF(J$33&gt;H34,(H34-G34)*I34,(J$33-G34)*I34)&gt;0,IF(J$33&gt;H34,(H34-G34)*I34,(J$33-G34)*I34),0)</f>
        <v>25500</v>
      </c>
      <c r="K34" s="38">
        <f>IF(IF(K$33&gt;$H34,($H34-$G34)*$I34,(K$33-$G34)*$I34)&gt;0,IF(K$33&gt;$H34,($H34-$G34)*$I34,(K$33-$G34)*$I34),0)</f>
        <v>25500</v>
      </c>
      <c r="L34" s="38">
        <f>IF(IF(L$33&gt;$H34,($H34-$G34)*$I34,(L$33-$G34)*$I34)&gt;0,IF(L$33&gt;$H34,($H34-$G34)*$I34,(L$33-$G34)*$I34),0)</f>
        <v>25500</v>
      </c>
      <c r="M34" s="97"/>
      <c r="N34" s="60">
        <f>'Tax Tables'!F25</f>
        <v>0</v>
      </c>
      <c r="O34" s="65">
        <f>'Tax Tables'!G25</f>
        <v>100000000</v>
      </c>
      <c r="P34" s="66">
        <f>'Tax Tables'!H25</f>
        <v>0.03</v>
      </c>
      <c r="Q34" s="36">
        <f>IF(IF(Q$33&gt;O34,(O34-N34)*P34,(Q$33-N34)*P34)&gt;0,IF(Q$33&gt;O34,(O34-N34)*P34,(Q$33-N34)*P34),0)</f>
        <v>25500</v>
      </c>
      <c r="R34" s="38">
        <f>IF(IF(R$33&gt;$O34,($O34-$N34)*$P34,(R$33-$N34)*$P34)&gt;0,IF(R$33&gt;$O34,($O34-$N34)*$P34,(R$33-$N34)*$P34),0)</f>
        <v>25500</v>
      </c>
      <c r="S34" s="38">
        <f>IF(IF(S$33&gt;$O34,($O34-$N34)*$P34,(S$33-$N34)*$P34)&gt;0,IF(S$33&gt;$O34,($O34-$N34)*$P34,(S$33-$N34)*$P34),0)</f>
        <v>25500</v>
      </c>
    </row>
    <row r="35" spans="2:21" ht="16" thickBot="1" x14ac:dyDescent="0.25">
      <c r="B35" s="27" t="s">
        <v>114</v>
      </c>
      <c r="C35" s="52">
        <f>C20</f>
        <v>268812.88</v>
      </c>
      <c r="G35" s="60">
        <f>'Tax Tables'!B26</f>
        <v>0</v>
      </c>
      <c r="H35" s="65">
        <f>'Tax Tables'!C26</f>
        <v>0</v>
      </c>
      <c r="I35" s="40">
        <f>'Tax Tables'!D26</f>
        <v>0</v>
      </c>
      <c r="J35" s="34">
        <f>IF(IF(J$33&gt;H35,(H35-G35)*I35,(J$33-G35)*I35)&gt;0,IF(J$33&gt;H35,(H35-G35)*I35,(J$33-G35)*I35),0)</f>
        <v>0</v>
      </c>
      <c r="K35" s="11">
        <f>IF(IF(K$33&gt;H35,(H35-G35)*I35,(K$33-G35)*I35)&gt;0,IF(K$33&gt;H35,(H35-G35)*I35,(K$33-G35)*I35),0)</f>
        <v>0</v>
      </c>
      <c r="L35" s="11"/>
      <c r="M35" s="97"/>
      <c r="N35" s="60">
        <f>'Tax Tables'!F26</f>
        <v>0</v>
      </c>
      <c r="O35" s="65">
        <f>'Tax Tables'!G26</f>
        <v>0</v>
      </c>
      <c r="P35" s="29">
        <f>'Tax Tables'!H26</f>
        <v>0</v>
      </c>
      <c r="Q35" s="34">
        <f>IF(IF(Q$33&gt;O35,(O35-N35)*P35,(Q$33-N35)*P35)&gt;0,IF(Q$33&gt;O35,(O35-N35)*P35,(Q$33-N35)*P35),0)</f>
        <v>0</v>
      </c>
      <c r="R35" s="11">
        <f>IF(IF(R$33&gt;O35,(O35-N35)*P35,(R$33-N35)*P35)&gt;0,IF(R$33&gt;O35,(O35-N35)*P35,(R$33-N35)*P35),0)</f>
        <v>0</v>
      </c>
      <c r="S35" s="38">
        <f>IF(IF(S$33&gt;$O35,($O35-$N35)*$P35,(S$33-$N35)*$P35)&gt;0,IF(S$33&gt;$O35,($O35-$N35)*$P35,(S$33-$N35)*$P35),0)</f>
        <v>0</v>
      </c>
    </row>
    <row r="36" spans="2:21" ht="16" thickBot="1" x14ac:dyDescent="0.25">
      <c r="B36" s="47" t="s">
        <v>45</v>
      </c>
      <c r="C36" s="64">
        <f>D18+E18</f>
        <v>0</v>
      </c>
      <c r="G36" s="60">
        <f>'Tax Tables'!B27</f>
        <v>0</v>
      </c>
      <c r="H36" s="65">
        <f>'Tax Tables'!C27</f>
        <v>0</v>
      </c>
      <c r="I36" s="40">
        <f>'Tax Tables'!D27</f>
        <v>0</v>
      </c>
      <c r="J36" s="34">
        <f>IF(IF(J$33&gt;H36,(H36-G36)*I36,(J$33-G36)*I36)&gt;0,IF(J$33&gt;H36,(H36-G36)*I36,(J$33-G36)*I36),0)</f>
        <v>0</v>
      </c>
      <c r="K36" s="11">
        <f>IF(IF(K$33&gt;H36,(H36-G36)*I36,(K$33-G36)*I36)&gt;0,IF(K$33&gt;H36,(H36-G36)*I36,(K$33-G36)*I36),0)</f>
        <v>0</v>
      </c>
      <c r="L36" s="11"/>
      <c r="M36" s="97"/>
      <c r="N36" s="60">
        <f>'Tax Tables'!F27</f>
        <v>0</v>
      </c>
      <c r="O36" s="65">
        <f>'Tax Tables'!G27</f>
        <v>0</v>
      </c>
      <c r="P36" s="29">
        <f>'Tax Tables'!H27</f>
        <v>0</v>
      </c>
      <c r="Q36" s="34">
        <f>IF(IF(Q$33&gt;O36,(O36-N36)*P36,(Q$33-N36)*P36)&gt;0,IF(Q$33&gt;O36,(O36-N36)*P36,(Q$33-N36)*P36),0)</f>
        <v>0</v>
      </c>
      <c r="R36" s="11">
        <f>IF(IF(R$33&gt;O36,(O36-N36)*P36,(R$33-N36)*P36)&gt;0,IF(R$33&gt;O36,(O36-N36)*P36,(R$33-N36)*P36),0)</f>
        <v>0</v>
      </c>
      <c r="S36" s="38">
        <f>IF(IF(S$33&gt;$O36,($O36-$N36)*$P36,(S$33-$N36)*$P36)&gt;0,IF(S$33&gt;$O36,($O36-$N36)*$P36,(S$33-$N36)*$P36),0)</f>
        <v>0</v>
      </c>
    </row>
    <row r="37" spans="2:21" ht="16" thickBot="1" x14ac:dyDescent="0.25">
      <c r="B37" s="84" t="s">
        <v>11</v>
      </c>
      <c r="C37" s="126">
        <f>C36+C33+C39</f>
        <v>268812.88</v>
      </c>
      <c r="G37" s="60">
        <f>'Tax Tables'!B28</f>
        <v>0</v>
      </c>
      <c r="H37" s="65">
        <f>'Tax Tables'!C28</f>
        <v>0</v>
      </c>
      <c r="I37" s="40">
        <f>'Tax Tables'!D28</f>
        <v>0</v>
      </c>
      <c r="J37" s="34">
        <f>IF(IF(J$33&gt;H37,(H37-G37)*I37,(J$33-G37)*I37)&gt;0,IF(J$33&gt;H37,(H37-G37)*I37,(J$33-G37)*I37),0)</f>
        <v>0</v>
      </c>
      <c r="K37" s="11">
        <f>IF(IF(K$33&gt;H37,(H37-G37)*I37,(K$33-G37)*I37)&gt;0,IF(K$33&gt;H37,(H37-G37)*I37,(K$33-G37)*I37),0)</f>
        <v>0</v>
      </c>
      <c r="L37" s="11"/>
      <c r="M37" s="97"/>
      <c r="N37" s="60">
        <f>'Tax Tables'!F28</f>
        <v>0</v>
      </c>
      <c r="O37" s="65">
        <f>'Tax Tables'!G28</f>
        <v>0</v>
      </c>
      <c r="P37" s="29">
        <f>'Tax Tables'!H28</f>
        <v>0</v>
      </c>
      <c r="Q37" s="34">
        <f>IF(IF(Q$33&gt;O37,(O37-N37)*P37,(Q$33-N37)*P37)&gt;0,IF(Q$33&gt;O37,(O37-N37)*P37,(Q$33-N37)*P37),0)</f>
        <v>0</v>
      </c>
      <c r="R37" s="11">
        <f>IF(IF(R$33&gt;O37,(O37-N37)*P37,(R$33-N37)*P37)&gt;0,IF(R$33&gt;O37,(O37-N37)*P37,(R$33-N37)*P37),0)</f>
        <v>0</v>
      </c>
      <c r="S37" s="38">
        <f>IF(IF(S$33&gt;$O37,($O37-$N37)*$P37,(S$33-$N37)*$P37)&gt;0,IF(S$33&gt;$O37,($O37-$N37)*$P37,(S$33-$N37)*$P37),0)</f>
        <v>0</v>
      </c>
    </row>
    <row r="38" spans="2:21" ht="16" thickBot="1" x14ac:dyDescent="0.25">
      <c r="B38" s="24" t="s">
        <v>64</v>
      </c>
      <c r="C38" s="54">
        <f>C35-C37</f>
        <v>0</v>
      </c>
      <c r="G38" s="60">
        <f>'Tax Tables'!B29</f>
        <v>0</v>
      </c>
      <c r="H38" s="65">
        <f>'Tax Tables'!C29</f>
        <v>0</v>
      </c>
      <c r="I38" s="40">
        <f>'Tax Tables'!D29</f>
        <v>0</v>
      </c>
      <c r="J38" s="34">
        <f>IF(IF(J$33&gt;H38,(H38-G38)*I38,(J$33-G38)*I38)&gt;0,IF(J$33&gt;H38,(H38-G38)*I38,(J$33-G38)*I38),0)</f>
        <v>0</v>
      </c>
      <c r="K38" s="11">
        <f>IF(IF(K$33&gt;H38,(H38-G38)*I38,(K$33-G38)*I38)&gt;0,IF(K$33&gt;H38,(H38-G38)*I38,(K$33-G38)*I38),0)</f>
        <v>0</v>
      </c>
      <c r="L38" s="11"/>
      <c r="M38" s="97"/>
      <c r="N38" s="60">
        <f>'Tax Tables'!F29</f>
        <v>0</v>
      </c>
      <c r="O38" s="65">
        <f>'Tax Tables'!G29</f>
        <v>0</v>
      </c>
      <c r="P38" s="29">
        <f>'Tax Tables'!H29</f>
        <v>0</v>
      </c>
      <c r="Q38" s="34">
        <f>IF(IF(Q$33&gt;O38,(O38-N38)*P38,(Q$33-N38)*P38)&gt;0,IF(Q$33&gt;O38,(O38-N38)*P38,(Q$33-N38)*P38),0)</f>
        <v>0</v>
      </c>
      <c r="R38" s="11">
        <f>IF(IF(R$33&gt;O38,(O38-N38)*P38,(R$33-N38)*P38)&gt;0,IF(R$33&gt;O38,(O38-N38)*P38,(R$33-N38)*P38),0)</f>
        <v>0</v>
      </c>
      <c r="S38" s="231">
        <f>IF(IF(S$33&gt;$O38,($O38-$N38)*$P38,(S$33-$N38)*$P38)&gt;0,IF(S$33&gt;$O38,($O38-$N38)*$P38,(S$33-$N38)*$P38),0)</f>
        <v>0</v>
      </c>
    </row>
    <row r="39" spans="2:21" ht="16" thickBot="1" x14ac:dyDescent="0.25">
      <c r="B39" s="24" t="s">
        <v>65</v>
      </c>
      <c r="C39" s="128">
        <f>SUM(D20:E20)</f>
        <v>0</v>
      </c>
      <c r="G39" s="15"/>
      <c r="H39" s="12"/>
      <c r="I39" s="41"/>
      <c r="J39" s="35"/>
      <c r="K39" s="14"/>
      <c r="L39" s="14"/>
      <c r="M39" s="97"/>
      <c r="N39" s="15"/>
      <c r="O39" s="12"/>
      <c r="P39" s="22"/>
      <c r="Q39" s="14"/>
      <c r="R39" s="14"/>
      <c r="S39" s="231"/>
    </row>
    <row r="40" spans="2:21" ht="16" thickBot="1" x14ac:dyDescent="0.25">
      <c r="B40" s="84" t="s">
        <v>120</v>
      </c>
      <c r="C40" s="126">
        <f>C38+C39</f>
        <v>0</v>
      </c>
      <c r="F40" s="4"/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8"/>
      <c r="S40" s="97"/>
    </row>
    <row r="41" spans="2:21" ht="16" thickBot="1" x14ac:dyDescent="0.25">
      <c r="G41" s="96"/>
      <c r="H41" s="97"/>
      <c r="I41" s="97"/>
      <c r="J41" s="422" t="s">
        <v>26</v>
      </c>
      <c r="K41" s="443"/>
      <c r="L41" s="423"/>
      <c r="M41" s="125" t="s">
        <v>38</v>
      </c>
      <c r="N41" s="196"/>
      <c r="O41" s="97"/>
      <c r="P41" s="97"/>
      <c r="Q41" s="422" t="s">
        <v>26</v>
      </c>
      <c r="R41" s="443"/>
      <c r="S41" s="423"/>
      <c r="T41" s="125" t="s">
        <v>38</v>
      </c>
      <c r="U41" s="196"/>
    </row>
    <row r="42" spans="2:21" ht="16" thickBot="1" x14ac:dyDescent="0.25">
      <c r="D42" s="4"/>
      <c r="E42" s="4"/>
      <c r="G42" s="101"/>
      <c r="H42" s="100"/>
      <c r="I42" s="100"/>
      <c r="J42" s="106">
        <f>SUM(J34:J39)</f>
        <v>25500</v>
      </c>
      <c r="K42" s="106">
        <f>SUM(K34:K39)</f>
        <v>25500</v>
      </c>
      <c r="L42" s="106">
        <f>SUM(L34:L39)</f>
        <v>25500</v>
      </c>
      <c r="M42" s="107">
        <f>J42-L42</f>
        <v>0</v>
      </c>
      <c r="N42" s="197"/>
      <c r="O42" s="100"/>
      <c r="P42" s="100"/>
      <c r="Q42" s="106">
        <f>SUM(Q34:Q39)</f>
        <v>25500</v>
      </c>
      <c r="R42" s="106">
        <f>SUM(R34:R39)</f>
        <v>25500</v>
      </c>
      <c r="S42" s="106">
        <f>SUM(S34:S39)</f>
        <v>25500</v>
      </c>
      <c r="T42" s="107">
        <f>Q42-S42</f>
        <v>0</v>
      </c>
      <c r="U42" s="200"/>
    </row>
    <row r="43" spans="2:21" ht="16" thickBot="1" x14ac:dyDescent="0.25">
      <c r="B43" s="74"/>
      <c r="C43" s="75"/>
      <c r="D43" s="57" t="s">
        <v>29</v>
      </c>
    </row>
    <row r="44" spans="2:21" ht="16" thickBot="1" x14ac:dyDescent="0.25">
      <c r="B44" s="27" t="s">
        <v>13</v>
      </c>
      <c r="C44" s="148" t="str">
        <f>'Strategy comparison'!C4</f>
        <v>Married-Joint</v>
      </c>
      <c r="D44" s="58" t="s">
        <v>0</v>
      </c>
      <c r="I44" s="181" t="s">
        <v>196</v>
      </c>
      <c r="J44" s="175">
        <f>'Tax Tables'!$C$34</f>
        <v>3.7999999999999999E-2</v>
      </c>
    </row>
    <row r="45" spans="2:21" ht="16" thickBot="1" x14ac:dyDescent="0.25">
      <c r="B45" s="27" t="s">
        <v>14</v>
      </c>
      <c r="C45" s="212">
        <f>'Strategy comparison'!C5</f>
        <v>400000</v>
      </c>
      <c r="D45" s="42">
        <v>0.5</v>
      </c>
      <c r="I45" s="174">
        <f>SUM(C8:C11)</f>
        <v>0</v>
      </c>
      <c r="J45" s="137">
        <f>IF(C15-C23-C24-C61-IF(C5="Married-Joint",250000,200000)&gt;I45,(C15-C23-C24-C61-IF(C5="Married-Joint",250000,200000))*J44, I45*J44)</f>
        <v>6650</v>
      </c>
    </row>
    <row r="46" spans="2:21" ht="16" thickBot="1" x14ac:dyDescent="0.25">
      <c r="B46" s="27" t="s">
        <v>15</v>
      </c>
      <c r="C46" s="212">
        <f>'Strategy comparison'!C6-'DB comparison'!C2</f>
        <v>0</v>
      </c>
      <c r="D46" s="61"/>
      <c r="F46" s="1"/>
    </row>
    <row r="47" spans="2:21" ht="16" thickBot="1" x14ac:dyDescent="0.25">
      <c r="B47" s="27" t="s">
        <v>16</v>
      </c>
      <c r="C47" s="212">
        <f>'Strategy comparison'!C7</f>
        <v>0</v>
      </c>
      <c r="D47" s="62" t="s">
        <v>72</v>
      </c>
      <c r="F47" s="23"/>
    </row>
    <row r="48" spans="2:21" ht="16" thickBot="1" x14ac:dyDescent="0.25">
      <c r="B48" s="27" t="s">
        <v>96</v>
      </c>
      <c r="C48" s="212">
        <f>'Strategy comparison'!C9</f>
        <v>0</v>
      </c>
      <c r="D48" s="63">
        <v>5</v>
      </c>
      <c r="E48" s="1"/>
    </row>
    <row r="49" spans="2:5" ht="16" thickBot="1" x14ac:dyDescent="0.25">
      <c r="B49" s="27" t="s">
        <v>98</v>
      </c>
      <c r="C49" s="212">
        <f>'Strategy comparison'!C10</f>
        <v>0</v>
      </c>
      <c r="D49" s="2" t="s">
        <v>32</v>
      </c>
      <c r="E49" s="23"/>
    </row>
    <row r="50" spans="2:5" ht="16" thickBot="1" x14ac:dyDescent="0.25">
      <c r="B50" s="27" t="s">
        <v>97</v>
      </c>
      <c r="C50" s="212">
        <f>'Strategy comparison'!C11</f>
        <v>0</v>
      </c>
      <c r="D50" s="3" t="s">
        <v>34</v>
      </c>
    </row>
    <row r="51" spans="2:5" ht="16" thickBot="1" x14ac:dyDescent="0.25">
      <c r="B51" s="27" t="s">
        <v>100</v>
      </c>
      <c r="C51" s="212">
        <f>SUM(C45:C48)+C50</f>
        <v>400000</v>
      </c>
      <c r="D51" s="5">
        <f>C61/D48</f>
        <v>85000</v>
      </c>
    </row>
    <row r="52" spans="2:5" ht="16" thickBot="1" x14ac:dyDescent="0.25">
      <c r="B52" s="27" t="s">
        <v>20</v>
      </c>
      <c r="C52" s="212">
        <f>'Strategy comparison'!C8</f>
        <v>0</v>
      </c>
      <c r="D52" s="3" t="s">
        <v>35</v>
      </c>
    </row>
    <row r="53" spans="2:5" ht="16" thickBot="1" x14ac:dyDescent="0.25">
      <c r="B53" s="27" t="s">
        <v>102</v>
      </c>
      <c r="C53" s="49">
        <f>C52+C49</f>
        <v>0</v>
      </c>
      <c r="D53" s="147">
        <v>0</v>
      </c>
    </row>
    <row r="54" spans="2:5" x14ac:dyDescent="0.2">
      <c r="B54" s="27" t="s">
        <v>18</v>
      </c>
      <c r="C54" s="49">
        <f>C51+C53</f>
        <v>400000</v>
      </c>
      <c r="D54" s="68" t="s">
        <v>36</v>
      </c>
    </row>
    <row r="55" spans="2:5" ht="16" thickBot="1" x14ac:dyDescent="0.25">
      <c r="B55" s="28" t="s">
        <v>21</v>
      </c>
      <c r="C55" s="49">
        <f>IF(C44="Single",R17,IF(C44="Married-Joint",K17,"Filing Status?"))</f>
        <v>236662.87999999998</v>
      </c>
      <c r="D55" s="129">
        <f>D51*(1-D53)</f>
        <v>85000</v>
      </c>
    </row>
    <row r="56" spans="2:5" x14ac:dyDescent="0.2">
      <c r="B56" s="28" t="s">
        <v>124</v>
      </c>
      <c r="C56" s="49">
        <f>IF(C44="Single",R28,IF(C44="Married-Joint",K28,"Filing Status?"))</f>
        <v>0</v>
      </c>
      <c r="D56" s="68" t="s">
        <v>7</v>
      </c>
    </row>
    <row r="57" spans="2:5" ht="16" thickBot="1" x14ac:dyDescent="0.25">
      <c r="B57" s="28" t="s">
        <v>22</v>
      </c>
      <c r="C57" s="52">
        <f>IF(C44="Single",R42,IF(C44="Married-Joint",K42,"Filing Status?"))</f>
        <v>25500</v>
      </c>
      <c r="D57" s="90">
        <v>0</v>
      </c>
    </row>
    <row r="58" spans="2:5" x14ac:dyDescent="0.2">
      <c r="B58" s="27" t="s">
        <v>24</v>
      </c>
      <c r="C58" s="50">
        <f>SUM(C55:C57)+J45</f>
        <v>268812.88</v>
      </c>
      <c r="D58" s="3" t="s">
        <v>40</v>
      </c>
    </row>
    <row r="59" spans="2:5" ht="16" thickBot="1" x14ac:dyDescent="0.25">
      <c r="B59" s="26" t="s">
        <v>25</v>
      </c>
      <c r="C59" s="59">
        <f>C58/SUM(C51:C52)</f>
        <v>0.67203219999999997</v>
      </c>
      <c r="D59" s="5">
        <f>SUM(D55,D57)</f>
        <v>85000</v>
      </c>
    </row>
    <row r="60" spans="2:5" x14ac:dyDescent="0.2">
      <c r="B60" s="26"/>
      <c r="C60" s="55"/>
    </row>
    <row r="61" spans="2:5" x14ac:dyDescent="0.2">
      <c r="B61" s="26" t="s">
        <v>37</v>
      </c>
      <c r="C61" s="51">
        <f>IF('Strategy comparison'!L22="",IF(C44="Married-Joint", (K7+K22),IF(C44="Single",(R7+R22),"Filing Status?"))*D45,'Strategy comparison'!L22)</f>
        <v>425000</v>
      </c>
    </row>
    <row r="62" spans="2:5" x14ac:dyDescent="0.2">
      <c r="B62" s="26" t="s">
        <v>39</v>
      </c>
      <c r="C62" s="51">
        <f>C61*(1/D45)*(1-D45)</f>
        <v>425000</v>
      </c>
    </row>
    <row r="63" spans="2:5" x14ac:dyDescent="0.2">
      <c r="B63" s="27" t="s">
        <v>41</v>
      </c>
      <c r="C63" s="52">
        <f>IF(C44="Single",S17,IF(C44="Married-Joint",L17,"Filing Status?"))</f>
        <v>88911.099999999977</v>
      </c>
    </row>
    <row r="64" spans="2:5" x14ac:dyDescent="0.2">
      <c r="B64" s="27" t="s">
        <v>42</v>
      </c>
      <c r="C64" s="56">
        <f>IF(C44="Single",S42,IF(C44="Married-Joint",L42,"Filing Status?"))</f>
        <v>25500</v>
      </c>
    </row>
    <row r="65" spans="2:4" x14ac:dyDescent="0.2">
      <c r="B65" s="27" t="s">
        <v>128</v>
      </c>
      <c r="C65" s="56">
        <f>IF(C44="Single",S28,IF(C44="Married-Joint",L28,"Filing Status?"))</f>
        <v>0</v>
      </c>
    </row>
    <row r="66" spans="2:4" x14ac:dyDescent="0.2">
      <c r="B66" s="27" t="s">
        <v>90</v>
      </c>
      <c r="C66" s="177">
        <f>J45</f>
        <v>6650</v>
      </c>
      <c r="D66" s="6"/>
    </row>
    <row r="67" spans="2:4" x14ac:dyDescent="0.2">
      <c r="B67" s="27" t="s">
        <v>43</v>
      </c>
      <c r="C67" s="50">
        <f>SUM(C63:C66)</f>
        <v>121061.09999999998</v>
      </c>
      <c r="D67" s="6"/>
    </row>
    <row r="68" spans="2:4" x14ac:dyDescent="0.2">
      <c r="B68" s="26" t="s">
        <v>25</v>
      </c>
      <c r="C68" s="53">
        <f>(C67+C70)/C54</f>
        <v>0.51515274999999994</v>
      </c>
      <c r="D68" s="6"/>
    </row>
    <row r="69" spans="2:4" x14ac:dyDescent="0.2">
      <c r="B69" s="27" t="s">
        <v>44</v>
      </c>
      <c r="C69" s="52">
        <f>C58-C67</f>
        <v>147751.78000000003</v>
      </c>
      <c r="D69" s="6"/>
    </row>
    <row r="70" spans="2:4" x14ac:dyDescent="0.2">
      <c r="B70" s="47" t="s">
        <v>45</v>
      </c>
      <c r="C70" s="64">
        <f>D59</f>
        <v>85000</v>
      </c>
    </row>
    <row r="71" spans="2:4" ht="16" thickBot="1" x14ac:dyDescent="0.25">
      <c r="B71" s="24" t="s">
        <v>46</v>
      </c>
      <c r="C71" s="54">
        <f>C69-C70</f>
        <v>62751.780000000028</v>
      </c>
      <c r="D71" s="4"/>
    </row>
    <row r="73" spans="2:4" ht="16" thickBot="1" x14ac:dyDescent="0.25"/>
    <row r="74" spans="2:4" x14ac:dyDescent="0.2">
      <c r="B74" s="459" t="s">
        <v>92</v>
      </c>
      <c r="C74" s="460"/>
    </row>
    <row r="75" spans="2:4" x14ac:dyDescent="0.2">
      <c r="B75" s="9" t="s">
        <v>125</v>
      </c>
      <c r="C75" s="135">
        <f>'No planning'!C23</f>
        <v>98895.419999999984</v>
      </c>
    </row>
    <row r="76" spans="2:4" x14ac:dyDescent="0.2">
      <c r="B76" s="9" t="s">
        <v>126</v>
      </c>
      <c r="C76" s="135">
        <f>C33</f>
        <v>268812.88</v>
      </c>
    </row>
    <row r="77" spans="2:4" x14ac:dyDescent="0.2">
      <c r="B77" s="9" t="s">
        <v>127</v>
      </c>
      <c r="C77" s="135">
        <f>C67</f>
        <v>121061.09999999998</v>
      </c>
    </row>
    <row r="78" spans="2:4" x14ac:dyDescent="0.2">
      <c r="B78" s="9" t="s">
        <v>129</v>
      </c>
      <c r="C78" s="135">
        <f>D59+D12+E12+D14+E14+D16</f>
        <v>85000</v>
      </c>
    </row>
    <row r="79" spans="2:4" x14ac:dyDescent="0.2">
      <c r="B79" s="9" t="s">
        <v>65</v>
      </c>
      <c r="C79" s="135">
        <f>D20+E20</f>
        <v>0</v>
      </c>
    </row>
    <row r="80" spans="2:4" x14ac:dyDescent="0.2">
      <c r="B80" s="9" t="s">
        <v>64</v>
      </c>
      <c r="C80" s="135">
        <f>C75-C77-C78-C79</f>
        <v>-107165.68</v>
      </c>
    </row>
    <row r="81" spans="2:3" x14ac:dyDescent="0.2">
      <c r="B81" s="9" t="s">
        <v>120</v>
      </c>
      <c r="C81" s="135">
        <f>C80+C79</f>
        <v>-107165.68</v>
      </c>
    </row>
    <row r="82" spans="2:3" ht="16" thickBot="1" x14ac:dyDescent="0.25">
      <c r="B82" s="15" t="s">
        <v>25</v>
      </c>
      <c r="C82" s="216">
        <f>SUM(C77:C78)/C15</f>
        <v>0.24242482352941175</v>
      </c>
    </row>
  </sheetData>
  <mergeCells count="16">
    <mergeCell ref="B1:E1"/>
    <mergeCell ref="G6:I6"/>
    <mergeCell ref="N6:P6"/>
    <mergeCell ref="D15:E15"/>
    <mergeCell ref="D16:E16"/>
    <mergeCell ref="J16:L16"/>
    <mergeCell ref="J41:L41"/>
    <mergeCell ref="Q41:S41"/>
    <mergeCell ref="B74:C74"/>
    <mergeCell ref="Q16:S16"/>
    <mergeCell ref="G21:I21"/>
    <mergeCell ref="N21:P21"/>
    <mergeCell ref="J27:L27"/>
    <mergeCell ref="Q27:S27"/>
    <mergeCell ref="G32:I32"/>
    <mergeCell ref="N32:P3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683C-C62B-4AD0-9AF3-AA9F0797F39A}">
  <dimension ref="B1:L34"/>
  <sheetViews>
    <sheetView workbookViewId="0">
      <selection activeCell="J31" sqref="J31"/>
    </sheetView>
  </sheetViews>
  <sheetFormatPr baseColWidth="10" defaultColWidth="8.83203125" defaultRowHeight="15" x14ac:dyDescent="0.2"/>
  <cols>
    <col min="2" max="2" width="12.5" bestFit="1" customWidth="1"/>
    <col min="3" max="3" width="18.1640625" bestFit="1" customWidth="1"/>
    <col min="4" max="4" width="7" bestFit="1" customWidth="1"/>
    <col min="6" max="6" width="12.33203125" bestFit="1" customWidth="1"/>
    <col min="7" max="7" width="18.1640625" bestFit="1" customWidth="1"/>
    <col min="8" max="8" width="7" bestFit="1" customWidth="1"/>
    <col min="11" max="11" width="19" bestFit="1" customWidth="1"/>
    <col min="12" max="12" width="11.1640625" bestFit="1" customWidth="1"/>
  </cols>
  <sheetData>
    <row r="1" spans="2:12" ht="16" thickBot="1" x14ac:dyDescent="0.25"/>
    <row r="2" spans="2:12" ht="16" thickBot="1" x14ac:dyDescent="0.25">
      <c r="B2" s="437" t="s">
        <v>83</v>
      </c>
      <c r="C2" s="438"/>
      <c r="D2" s="438"/>
      <c r="E2" s="438"/>
      <c r="F2" s="438"/>
      <c r="G2" s="438"/>
      <c r="H2" s="439"/>
    </row>
    <row r="3" spans="2:12" ht="16" thickBot="1" x14ac:dyDescent="0.25">
      <c r="L3" s="17"/>
    </row>
    <row r="4" spans="2:12" ht="16" thickBot="1" x14ac:dyDescent="0.25">
      <c r="B4" s="461" t="s">
        <v>17</v>
      </c>
      <c r="C4" s="462"/>
      <c r="D4" s="463"/>
      <c r="F4" s="461" t="s">
        <v>19</v>
      </c>
      <c r="G4" s="462"/>
      <c r="H4" s="463"/>
      <c r="L4" s="17"/>
    </row>
    <row r="5" spans="2:12" ht="16" thickBot="1" x14ac:dyDescent="0.25">
      <c r="B5" s="30"/>
      <c r="C5" s="31"/>
      <c r="D5" s="32"/>
      <c r="F5" s="30"/>
      <c r="G5" s="31"/>
      <c r="H5" s="32"/>
    </row>
    <row r="6" spans="2:12" x14ac:dyDescent="0.2">
      <c r="B6" s="36">
        <v>0</v>
      </c>
      <c r="C6" s="43">
        <v>24800</v>
      </c>
      <c r="D6" s="37">
        <v>0.1</v>
      </c>
      <c r="F6" s="34">
        <v>0</v>
      </c>
      <c r="G6" s="46">
        <v>12400</v>
      </c>
      <c r="H6" s="10">
        <v>0.1</v>
      </c>
    </row>
    <row r="7" spans="2:12" x14ac:dyDescent="0.2">
      <c r="B7" s="34">
        <f t="shared" ref="B7:B12" si="0">C6+1</f>
        <v>24801</v>
      </c>
      <c r="C7" s="44">
        <v>100800</v>
      </c>
      <c r="D7" s="10">
        <v>0.12</v>
      </c>
      <c r="F7" s="34">
        <f t="shared" ref="F7:F12" si="1">G6+1</f>
        <v>12401</v>
      </c>
      <c r="G7" s="46">
        <v>50400</v>
      </c>
      <c r="H7" s="10">
        <v>0.12</v>
      </c>
    </row>
    <row r="8" spans="2:12" x14ac:dyDescent="0.2">
      <c r="B8" s="34">
        <f t="shared" si="0"/>
        <v>100801</v>
      </c>
      <c r="C8" s="44">
        <v>211400</v>
      </c>
      <c r="D8" s="10">
        <v>0.22</v>
      </c>
      <c r="F8" s="34">
        <f t="shared" si="1"/>
        <v>50401</v>
      </c>
      <c r="G8" s="46">
        <v>105700</v>
      </c>
      <c r="H8" s="10">
        <v>0.22</v>
      </c>
    </row>
    <row r="9" spans="2:12" x14ac:dyDescent="0.2">
      <c r="B9" s="34">
        <f t="shared" si="0"/>
        <v>211401</v>
      </c>
      <c r="C9" s="44">
        <v>403550</v>
      </c>
      <c r="D9" s="10">
        <v>0.24</v>
      </c>
      <c r="F9" s="34">
        <f t="shared" si="1"/>
        <v>105701</v>
      </c>
      <c r="G9" s="46">
        <v>201775</v>
      </c>
      <c r="H9" s="10">
        <v>0.24</v>
      </c>
    </row>
    <row r="10" spans="2:12" x14ac:dyDescent="0.2">
      <c r="B10" s="34">
        <f t="shared" si="0"/>
        <v>403551</v>
      </c>
      <c r="C10" s="44">
        <v>512450</v>
      </c>
      <c r="D10" s="10">
        <v>0.32</v>
      </c>
      <c r="F10" s="34">
        <f t="shared" si="1"/>
        <v>201776</v>
      </c>
      <c r="G10" s="46">
        <v>256225</v>
      </c>
      <c r="H10" s="10">
        <v>0.32</v>
      </c>
    </row>
    <row r="11" spans="2:12" x14ac:dyDescent="0.2">
      <c r="B11" s="34">
        <f t="shared" si="0"/>
        <v>512451</v>
      </c>
      <c r="C11" s="44">
        <v>768700</v>
      </c>
      <c r="D11" s="10">
        <v>0.35</v>
      </c>
      <c r="F11" s="34">
        <f t="shared" si="1"/>
        <v>256226</v>
      </c>
      <c r="G11" s="46">
        <v>640600</v>
      </c>
      <c r="H11" s="10">
        <v>0.35</v>
      </c>
    </row>
    <row r="12" spans="2:12" ht="16" thickBot="1" x14ac:dyDescent="0.25">
      <c r="B12" s="35">
        <f t="shared" si="0"/>
        <v>768701</v>
      </c>
      <c r="C12" s="45">
        <v>99999999999</v>
      </c>
      <c r="D12" s="13">
        <v>0.37</v>
      </c>
      <c r="F12" s="35">
        <f t="shared" si="1"/>
        <v>640601</v>
      </c>
      <c r="G12" s="45">
        <v>99999999999</v>
      </c>
      <c r="H12" s="13">
        <v>0.37</v>
      </c>
    </row>
    <row r="13" spans="2:12" ht="16" thickBot="1" x14ac:dyDescent="0.25"/>
    <row r="14" spans="2:12" ht="16" thickBot="1" x14ac:dyDescent="0.25">
      <c r="B14" s="437" t="s">
        <v>28</v>
      </c>
      <c r="C14" s="438"/>
      <c r="D14" s="438"/>
      <c r="E14" s="438"/>
      <c r="F14" s="438"/>
      <c r="G14" s="438"/>
      <c r="H14" s="439"/>
    </row>
    <row r="15" spans="2:12" ht="16" thickBot="1" x14ac:dyDescent="0.25"/>
    <row r="16" spans="2:12" ht="16" thickBot="1" x14ac:dyDescent="0.25">
      <c r="B16" s="461" t="s">
        <v>17</v>
      </c>
      <c r="C16" s="462"/>
      <c r="D16" s="463"/>
      <c r="F16" s="461" t="s">
        <v>19</v>
      </c>
      <c r="G16" s="462"/>
      <c r="H16" s="463"/>
      <c r="L16" s="17"/>
    </row>
    <row r="17" spans="2:8" ht="16" thickBot="1" x14ac:dyDescent="0.25">
      <c r="B17" s="30"/>
      <c r="C17" s="31"/>
      <c r="D17" s="32"/>
      <c r="F17" s="30"/>
      <c r="G17" s="31"/>
      <c r="H17" s="32"/>
    </row>
    <row r="18" spans="2:8" x14ac:dyDescent="0.2">
      <c r="B18" s="36">
        <v>0</v>
      </c>
      <c r="C18" s="43">
        <v>98900</v>
      </c>
      <c r="D18" s="37">
        <v>0</v>
      </c>
      <c r="F18" s="36">
        <v>0</v>
      </c>
      <c r="G18" s="43">
        <v>49450</v>
      </c>
      <c r="H18" s="37">
        <v>0</v>
      </c>
    </row>
    <row r="19" spans="2:8" x14ac:dyDescent="0.2">
      <c r="B19" s="34">
        <f>C18+1</f>
        <v>98901</v>
      </c>
      <c r="C19" s="44">
        <v>613700</v>
      </c>
      <c r="D19" s="10">
        <v>0.15</v>
      </c>
      <c r="F19" s="99">
        <f>G18+1</f>
        <v>49451</v>
      </c>
      <c r="G19" s="44">
        <v>545500</v>
      </c>
      <c r="H19" s="10">
        <v>0.15</v>
      </c>
    </row>
    <row r="20" spans="2:8" ht="16" thickBot="1" x14ac:dyDescent="0.25">
      <c r="B20" s="35">
        <f>C19+1</f>
        <v>613701</v>
      </c>
      <c r="C20" s="45">
        <v>99999999999</v>
      </c>
      <c r="D20" s="13">
        <v>0.2</v>
      </c>
      <c r="F20" s="149">
        <f>G19+1</f>
        <v>545501</v>
      </c>
      <c r="G20" s="45">
        <v>99999999999</v>
      </c>
      <c r="H20" s="13">
        <v>0.2</v>
      </c>
    </row>
    <row r="21" spans="2:8" ht="16" thickBot="1" x14ac:dyDescent="0.25"/>
    <row r="22" spans="2:8" ht="16" thickBot="1" x14ac:dyDescent="0.25">
      <c r="B22" s="440" t="s">
        <v>84</v>
      </c>
      <c r="C22" s="441"/>
      <c r="D22" s="441"/>
      <c r="E22" s="441"/>
      <c r="F22" s="441"/>
      <c r="G22" s="441"/>
      <c r="H22" s="442"/>
    </row>
    <row r="23" spans="2:8" ht="16" thickBot="1" x14ac:dyDescent="0.25"/>
    <row r="24" spans="2:8" ht="16" thickBot="1" x14ac:dyDescent="0.25">
      <c r="B24" s="461" t="s">
        <v>17</v>
      </c>
      <c r="C24" s="462"/>
      <c r="D24" s="463"/>
      <c r="F24" s="461" t="s">
        <v>19</v>
      </c>
      <c r="G24" s="462"/>
      <c r="H24" s="463"/>
    </row>
    <row r="25" spans="2:8" x14ac:dyDescent="0.2">
      <c r="B25" s="60">
        <v>0</v>
      </c>
      <c r="C25" s="17">
        <v>100000000</v>
      </c>
      <c r="D25" s="29">
        <v>0.03</v>
      </c>
      <c r="F25" s="60">
        <v>0</v>
      </c>
      <c r="G25" s="65">
        <v>100000000</v>
      </c>
      <c r="H25" s="66">
        <v>0.03</v>
      </c>
    </row>
    <row r="26" spans="2:8" x14ac:dyDescent="0.2">
      <c r="B26" s="60"/>
      <c r="C26" s="17"/>
      <c r="D26" s="29"/>
      <c r="F26" s="60"/>
      <c r="G26" s="65"/>
      <c r="H26" s="29"/>
    </row>
    <row r="27" spans="2:8" x14ac:dyDescent="0.2">
      <c r="B27" s="60"/>
      <c r="C27" s="17"/>
      <c r="D27" s="29"/>
      <c r="F27" s="60"/>
      <c r="G27" s="65"/>
      <c r="H27" s="29"/>
    </row>
    <row r="28" spans="2:8" x14ac:dyDescent="0.2">
      <c r="B28" s="60"/>
      <c r="C28" s="65"/>
      <c r="D28" s="29"/>
      <c r="F28" s="60"/>
      <c r="G28" s="65"/>
      <c r="H28" s="29"/>
    </row>
    <row r="29" spans="2:8" x14ac:dyDescent="0.2">
      <c r="B29" s="60"/>
      <c r="C29" s="65"/>
      <c r="D29" s="29"/>
      <c r="F29" s="60"/>
      <c r="G29" s="65"/>
      <c r="H29" s="29"/>
    </row>
    <row r="30" spans="2:8" x14ac:dyDescent="0.2">
      <c r="B30" s="60"/>
      <c r="C30" s="65"/>
      <c r="D30" s="29"/>
      <c r="F30" s="60"/>
      <c r="G30" s="65"/>
      <c r="H30" s="29"/>
    </row>
    <row r="31" spans="2:8" x14ac:dyDescent="0.2">
      <c r="B31" s="9"/>
      <c r="D31" s="21"/>
      <c r="F31" s="9"/>
      <c r="H31" s="21"/>
    </row>
    <row r="32" spans="2:8" ht="16" thickBot="1" x14ac:dyDescent="0.25">
      <c r="B32" s="15"/>
      <c r="C32" s="12"/>
      <c r="D32" s="22"/>
      <c r="F32" s="15"/>
      <c r="G32" s="12"/>
      <c r="H32" s="22"/>
    </row>
    <row r="33" spans="2:3" ht="16" thickBot="1" x14ac:dyDescent="0.25"/>
    <row r="34" spans="2:3" ht="16" thickBot="1" x14ac:dyDescent="0.25">
      <c r="B34" s="182" t="s">
        <v>90</v>
      </c>
      <c r="C34" s="173">
        <v>3.7999999999999999E-2</v>
      </c>
    </row>
  </sheetData>
  <mergeCells count="9">
    <mergeCell ref="F16:H16"/>
    <mergeCell ref="B4:D4"/>
    <mergeCell ref="F4:H4"/>
    <mergeCell ref="B2:H2"/>
    <mergeCell ref="B24:D24"/>
    <mergeCell ref="F24:H24"/>
    <mergeCell ref="B22:H22"/>
    <mergeCell ref="B14:H14"/>
    <mergeCell ref="B16:D1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658F-4DA3-A04F-AE31-FC560C5E619E}">
  <dimension ref="B1:N24"/>
  <sheetViews>
    <sheetView workbookViewId="0">
      <selection activeCell="L8" sqref="L8"/>
    </sheetView>
  </sheetViews>
  <sheetFormatPr baseColWidth="10" defaultColWidth="10.83203125" defaultRowHeight="16" x14ac:dyDescent="0.2"/>
  <cols>
    <col min="1" max="1" width="4.1640625" style="292" customWidth="1"/>
    <col min="2" max="2" width="27.5" style="292" customWidth="1"/>
    <col min="3" max="3" width="11.1640625" style="292" bestFit="1" customWidth="1"/>
    <col min="4" max="4" width="4.5" style="292" customWidth="1"/>
    <col min="5" max="5" width="5.1640625" style="292" customWidth="1"/>
    <col min="6" max="6" width="19.6640625" style="292" customWidth="1"/>
    <col min="7" max="7" width="13.1640625" style="292" customWidth="1"/>
    <col min="8" max="8" width="14.33203125" style="292" customWidth="1"/>
    <col min="9" max="9" width="10.83203125" style="292"/>
    <col min="10" max="10" width="4.1640625" style="292" customWidth="1"/>
    <col min="11" max="11" width="13.83203125" style="292" customWidth="1"/>
    <col min="12" max="12" width="13.1640625" style="292" customWidth="1"/>
    <col min="13" max="16384" width="10.83203125" style="292"/>
  </cols>
  <sheetData>
    <row r="1" spans="2:14" ht="17" thickBot="1" x14ac:dyDescent="0.25"/>
    <row r="2" spans="2:14" ht="17" thickBot="1" x14ac:dyDescent="0.25">
      <c r="B2" s="464" t="s">
        <v>78</v>
      </c>
      <c r="C2" s="465"/>
      <c r="D2" s="293"/>
      <c r="E2" s="466" t="s">
        <v>185</v>
      </c>
      <c r="F2" s="467"/>
      <c r="G2" s="467"/>
      <c r="H2" s="467"/>
      <c r="I2" s="468"/>
      <c r="K2" s="466" t="s">
        <v>182</v>
      </c>
      <c r="L2" s="468"/>
    </row>
    <row r="3" spans="2:14" x14ac:dyDescent="0.2">
      <c r="B3" s="310" t="s">
        <v>190</v>
      </c>
      <c r="C3" s="311"/>
      <c r="D3" s="293"/>
      <c r="E3" s="295" t="s">
        <v>178</v>
      </c>
      <c r="F3" s="296" t="s">
        <v>175</v>
      </c>
      <c r="G3" s="296" t="s">
        <v>176</v>
      </c>
      <c r="H3" s="296" t="s">
        <v>177</v>
      </c>
      <c r="I3" s="297" t="s">
        <v>174</v>
      </c>
      <c r="K3" s="295" t="s">
        <v>183</v>
      </c>
      <c r="L3" s="298">
        <f>IRR(F4:F10)</f>
        <v>7.9002369614326273E-2</v>
      </c>
      <c r="N3" s="313"/>
    </row>
    <row r="4" spans="2:14" ht="17" thickBot="1" x14ac:dyDescent="0.25">
      <c r="B4" s="294" t="s">
        <v>186</v>
      </c>
      <c r="C4" s="302">
        <f>IF(C3="",'No planning'!C15/C9,C3)</f>
        <v>533333.33333333337</v>
      </c>
      <c r="D4" s="293"/>
      <c r="E4" s="300">
        <v>0</v>
      </c>
      <c r="F4" s="301">
        <f>-C4</f>
        <v>-533333.33333333337</v>
      </c>
      <c r="G4" s="301">
        <f>IF(C11="Active",C4*C9*C8,IF(C11="Passive",0,"Passive or Active?"))</f>
        <v>93195.419999999984</v>
      </c>
      <c r="H4" s="301">
        <f>F4+G4</f>
        <v>-440137.91333333339</v>
      </c>
      <c r="I4" s="302">
        <f>(1-$C$9)*C4</f>
        <v>133333.33333333334</v>
      </c>
      <c r="K4" s="303" t="s">
        <v>184</v>
      </c>
      <c r="L4" s="304">
        <f>IRR(H4:H10)</f>
        <v>7.8089812055753383E-2</v>
      </c>
    </row>
    <row r="5" spans="2:14" ht="17" thickBot="1" x14ac:dyDescent="0.25">
      <c r="B5" s="295" t="s">
        <v>179</v>
      </c>
      <c r="C5" s="320">
        <v>0.12</v>
      </c>
      <c r="D5" s="293"/>
      <c r="E5" s="300">
        <v>1</v>
      </c>
      <c r="F5" s="301">
        <f>$C$5*$C$4</f>
        <v>64000</v>
      </c>
      <c r="G5" s="301">
        <f>MAX(F5-I4,0)*$C$6*-1</f>
        <v>0</v>
      </c>
      <c r="H5" s="301">
        <f t="shared" ref="H5:H10" si="0">F5+G5</f>
        <v>64000</v>
      </c>
      <c r="I5" s="302">
        <f t="shared" ref="I5:I10" si="1">MAX(I4-F5,0)</f>
        <v>69333.333333333343</v>
      </c>
    </row>
    <row r="6" spans="2:14" ht="17" thickBot="1" x14ac:dyDescent="0.25">
      <c r="B6" s="295" t="s">
        <v>180</v>
      </c>
      <c r="C6" s="299">
        <v>0.2</v>
      </c>
      <c r="D6" s="293"/>
      <c r="E6" s="300">
        <v>2</v>
      </c>
      <c r="F6" s="301">
        <f>$C$5*$C$4</f>
        <v>64000</v>
      </c>
      <c r="G6" s="301">
        <f>MAX(F6-I5,0)*$C$6*-1</f>
        <v>0</v>
      </c>
      <c r="H6" s="301">
        <f t="shared" si="0"/>
        <v>64000</v>
      </c>
      <c r="I6" s="302">
        <f t="shared" si="1"/>
        <v>5333.333333333343</v>
      </c>
      <c r="K6" s="464" t="s">
        <v>193</v>
      </c>
      <c r="L6" s="465"/>
    </row>
    <row r="7" spans="2:14" x14ac:dyDescent="0.2">
      <c r="B7" s="295" t="s">
        <v>192</v>
      </c>
      <c r="C7" s="299"/>
      <c r="D7" s="293"/>
      <c r="E7" s="300">
        <v>3</v>
      </c>
      <c r="F7" s="301">
        <f>$C$5*$C$4</f>
        <v>64000</v>
      </c>
      <c r="G7" s="301">
        <f>MAX(F7-I6,0)*$C$6*-1</f>
        <v>-11733.333333333332</v>
      </c>
      <c r="H7" s="301">
        <f t="shared" si="0"/>
        <v>52266.666666666672</v>
      </c>
      <c r="I7" s="302">
        <f t="shared" si="1"/>
        <v>0</v>
      </c>
      <c r="K7" s="294" t="s">
        <v>194</v>
      </c>
      <c r="L7" s="317">
        <v>0.08</v>
      </c>
    </row>
    <row r="8" spans="2:14" ht="17" thickBot="1" x14ac:dyDescent="0.25">
      <c r="B8" s="295" t="s">
        <v>188</v>
      </c>
      <c r="C8" s="314">
        <f>IF(C7="",'Strategy comparison'!F12,C7)</f>
        <v>0.23298854999999996</v>
      </c>
      <c r="D8" s="293"/>
      <c r="E8" s="300">
        <v>4</v>
      </c>
      <c r="F8" s="301">
        <f>$C$5*$C$4</f>
        <v>64000</v>
      </c>
      <c r="G8" s="301">
        <f>MAX(F8-I7,0)*$C$6*-1</f>
        <v>-12800</v>
      </c>
      <c r="H8" s="301">
        <f t="shared" si="0"/>
        <v>51200</v>
      </c>
      <c r="I8" s="302">
        <f t="shared" si="1"/>
        <v>0</v>
      </c>
      <c r="K8" s="315" t="s">
        <v>193</v>
      </c>
      <c r="L8" s="316">
        <f>NPV(L7,H5:H10)+H4</f>
        <v>-3326.4358691149973</v>
      </c>
    </row>
    <row r="9" spans="2:14" x14ac:dyDescent="0.2">
      <c r="B9" s="295" t="s">
        <v>181</v>
      </c>
      <c r="C9" s="299">
        <v>0.75</v>
      </c>
      <c r="D9" s="293"/>
      <c r="E9" s="300">
        <v>5</v>
      </c>
      <c r="F9" s="301">
        <f>$C$5*$C$4</f>
        <v>64000</v>
      </c>
      <c r="G9" s="301">
        <f>MAX(F9-I8,0)*$C$6*-1</f>
        <v>-12800</v>
      </c>
      <c r="H9" s="301">
        <f t="shared" si="0"/>
        <v>51200</v>
      </c>
      <c r="I9" s="302">
        <f t="shared" si="1"/>
        <v>0</v>
      </c>
    </row>
    <row r="10" spans="2:14" ht="17" thickBot="1" x14ac:dyDescent="0.25">
      <c r="B10" s="295" t="s">
        <v>189</v>
      </c>
      <c r="C10" s="299">
        <v>0.7</v>
      </c>
      <c r="D10" s="293"/>
      <c r="E10" s="306">
        <v>6</v>
      </c>
      <c r="F10" s="307">
        <f>($C$5+$C$10)*$C$4</f>
        <v>437333.33333333331</v>
      </c>
      <c r="G10" s="307">
        <f>IF(C11="Passive",(MAX((C5*C4)-I9,0)*$C$6*-1)+IF(C10&gt;C9, (C10-C9)*C6*C4*-1,(C9-C10)*C4*C8),IF(C11="Active",(MAX((C5*C4)-I9,0)*$C$6*-1)+IF(C10&gt;C9, ((C10-C9)*C6*C4*-1)+(C9*C4*-0.25),C10*C4*-0.25),"Passive or Active?"))</f>
        <v>-106133.33333333333</v>
      </c>
      <c r="H10" s="307">
        <f t="shared" si="0"/>
        <v>331200</v>
      </c>
      <c r="I10" s="308">
        <f t="shared" si="1"/>
        <v>0</v>
      </c>
    </row>
    <row r="11" spans="2:14" ht="17" thickBot="1" x14ac:dyDescent="0.25">
      <c r="B11" s="303" t="s">
        <v>191</v>
      </c>
      <c r="C11" s="305" t="s">
        <v>187</v>
      </c>
      <c r="D11" s="293"/>
      <c r="E11" s="293"/>
      <c r="F11" s="293"/>
      <c r="G11" s="312"/>
      <c r="H11" s="293"/>
      <c r="I11" s="293"/>
    </row>
    <row r="12" spans="2:14" x14ac:dyDescent="0.2">
      <c r="D12" s="293"/>
      <c r="I12" s="293"/>
    </row>
    <row r="13" spans="2:14" x14ac:dyDescent="0.2">
      <c r="D13" s="293"/>
      <c r="I13" s="293"/>
    </row>
    <row r="14" spans="2:14" x14ac:dyDescent="0.2">
      <c r="D14" s="293"/>
    </row>
    <row r="15" spans="2:14" x14ac:dyDescent="0.2">
      <c r="C15" s="293"/>
      <c r="D15" s="293"/>
    </row>
    <row r="16" spans="2:14" x14ac:dyDescent="0.2">
      <c r="C16" s="293"/>
      <c r="D16" s="293"/>
    </row>
    <row r="17" spans="3:7" x14ac:dyDescent="0.2">
      <c r="C17" s="293"/>
    </row>
    <row r="18" spans="3:7" x14ac:dyDescent="0.2">
      <c r="C18" s="293"/>
    </row>
    <row r="23" spans="3:7" x14ac:dyDescent="0.2">
      <c r="F23" s="309"/>
      <c r="G23" s="309"/>
    </row>
    <row r="24" spans="3:7" x14ac:dyDescent="0.2">
      <c r="F24" s="313"/>
    </row>
  </sheetData>
  <mergeCells count="4">
    <mergeCell ref="B2:C2"/>
    <mergeCell ref="E2:I2"/>
    <mergeCell ref="K2:L2"/>
    <mergeCell ref="K6:L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7983-C109-5D44-9E62-D52CD52F6C02}">
  <dimension ref="B1:L25"/>
  <sheetViews>
    <sheetView workbookViewId="0">
      <selection activeCell="K31" sqref="K31"/>
    </sheetView>
  </sheetViews>
  <sheetFormatPr baseColWidth="10" defaultColWidth="11.5" defaultRowHeight="15" x14ac:dyDescent="0.2"/>
  <cols>
    <col min="2" max="2" width="20.33203125" bestFit="1" customWidth="1"/>
    <col min="3" max="3" width="14.5" customWidth="1"/>
    <col min="5" max="5" width="4.83203125" bestFit="1" customWidth="1"/>
    <col min="6" max="6" width="19.5" bestFit="1" customWidth="1"/>
    <col min="7" max="7" width="19.5" customWidth="1"/>
    <col min="8" max="8" width="19.33203125" bestFit="1" customWidth="1"/>
    <col min="9" max="9" width="14.1640625" bestFit="1" customWidth="1"/>
    <col min="10" max="10" width="13.5" customWidth="1"/>
    <col min="11" max="11" width="14.33203125" customWidth="1"/>
    <col min="12" max="12" width="16.1640625" customWidth="1"/>
    <col min="13" max="13" width="12.6640625" bestFit="1" customWidth="1"/>
  </cols>
  <sheetData>
    <row r="1" spans="2:12" ht="16" thickBot="1" x14ac:dyDescent="0.25"/>
    <row r="2" spans="2:12" ht="17" thickBot="1" x14ac:dyDescent="0.25">
      <c r="B2" s="464" t="s">
        <v>78</v>
      </c>
      <c r="C2" s="465"/>
      <c r="D2" s="293"/>
      <c r="E2" s="469" t="s">
        <v>205</v>
      </c>
      <c r="F2" s="470"/>
      <c r="G2" s="470"/>
      <c r="H2" s="470"/>
      <c r="I2" s="471"/>
      <c r="J2" s="292"/>
      <c r="K2" s="466" t="s">
        <v>182</v>
      </c>
      <c r="L2" s="468"/>
    </row>
    <row r="3" spans="2:12" ht="16" x14ac:dyDescent="0.2">
      <c r="B3" s="310" t="s">
        <v>190</v>
      </c>
      <c r="C3" s="311"/>
      <c r="D3" s="293"/>
      <c r="E3" s="295" t="s">
        <v>178</v>
      </c>
      <c r="F3" s="296" t="s">
        <v>186</v>
      </c>
      <c r="G3" s="296" t="s">
        <v>204</v>
      </c>
      <c r="H3" s="296" t="s">
        <v>177</v>
      </c>
      <c r="I3" s="297" t="s">
        <v>174</v>
      </c>
      <c r="J3" s="292"/>
      <c r="K3" s="295" t="s">
        <v>183</v>
      </c>
      <c r="L3" s="298">
        <f>IRR(F4:F9)</f>
        <v>6.0873847709166595E-2</v>
      </c>
    </row>
    <row r="4" spans="2:12" ht="17" thickBot="1" x14ac:dyDescent="0.25">
      <c r="B4" s="294" t="s">
        <v>186</v>
      </c>
      <c r="C4" s="302">
        <f>IF(C3="",'No planning'!C15/C9,C3)</f>
        <v>533333.33333333337</v>
      </c>
      <c r="D4" s="293"/>
      <c r="E4" s="300">
        <v>0</v>
      </c>
      <c r="F4" s="301">
        <f>-C4</f>
        <v>-533333.33333333337</v>
      </c>
      <c r="G4" s="301"/>
      <c r="H4" s="301">
        <f t="shared" ref="H4:H9" si="0">SUM(F4:G4)</f>
        <v>-533333.33333333337</v>
      </c>
      <c r="I4" s="302">
        <f>C4</f>
        <v>533333.33333333337</v>
      </c>
      <c r="J4" s="292"/>
      <c r="K4" s="303" t="s">
        <v>184</v>
      </c>
      <c r="L4" s="304">
        <f>IRR(H4:H9)</f>
        <v>7.3416930917832524E-2</v>
      </c>
    </row>
    <row r="5" spans="2:12" ht="17" thickBot="1" x14ac:dyDescent="0.25">
      <c r="B5" s="295" t="s">
        <v>179</v>
      </c>
      <c r="C5" s="320">
        <v>0.114</v>
      </c>
      <c r="D5" s="293"/>
      <c r="E5" s="300">
        <v>1</v>
      </c>
      <c r="F5" s="301">
        <f>$C$5*$C$4</f>
        <v>60800.000000000007</v>
      </c>
      <c r="G5" s="301">
        <f>(1-C$11)*(C$4*C$5)*-C$6+(C4*C9*C8)</f>
        <v>84075.419999999984</v>
      </c>
      <c r="H5" s="301">
        <f t="shared" si="0"/>
        <v>144875.41999999998</v>
      </c>
      <c r="I5" s="302">
        <f>MAX((1-$C$9)*C4,0)</f>
        <v>133333.33333333334</v>
      </c>
      <c r="J5" s="292"/>
      <c r="K5" s="292"/>
      <c r="L5" s="292"/>
    </row>
    <row r="6" spans="2:12" ht="17" thickBot="1" x14ac:dyDescent="0.25">
      <c r="B6" s="295" t="s">
        <v>180</v>
      </c>
      <c r="C6" s="299">
        <v>0.2</v>
      </c>
      <c r="D6" s="293"/>
      <c r="E6" s="300">
        <v>2</v>
      </c>
      <c r="F6" s="301">
        <f>$C$5*$C$4</f>
        <v>60800.000000000007</v>
      </c>
      <c r="G6" s="301">
        <f>(1-C$11)*(C$4*C$5)*-C$6+(C4*C10*C8)</f>
        <v>21945.139999999992</v>
      </c>
      <c r="H6" s="301">
        <f t="shared" si="0"/>
        <v>82745.14</v>
      </c>
      <c r="I6" s="302">
        <f>MAX(I5-(C4*C10), 0)</f>
        <v>0</v>
      </c>
      <c r="J6" s="292"/>
      <c r="K6" s="464" t="s">
        <v>193</v>
      </c>
      <c r="L6" s="465"/>
    </row>
    <row r="7" spans="2:12" ht="16" x14ac:dyDescent="0.2">
      <c r="B7" s="295" t="s">
        <v>192</v>
      </c>
      <c r="C7" s="299"/>
      <c r="D7" s="293"/>
      <c r="E7" s="300">
        <v>3</v>
      </c>
      <c r="F7" s="301">
        <f>$C$5*$C$4</f>
        <v>60800.000000000007</v>
      </c>
      <c r="G7" s="301">
        <f>(1-C$11)*(C$4*C$5)*-C$6</f>
        <v>-9120.0000000000018</v>
      </c>
      <c r="H7" s="301">
        <f t="shared" si="0"/>
        <v>51680.000000000007</v>
      </c>
      <c r="I7" s="302">
        <f>I6</f>
        <v>0</v>
      </c>
      <c r="J7" s="292"/>
      <c r="K7" s="294" t="s">
        <v>194</v>
      </c>
      <c r="L7" s="317">
        <v>0.08</v>
      </c>
    </row>
    <row r="8" spans="2:12" ht="17" thickBot="1" x14ac:dyDescent="0.25">
      <c r="B8" s="295" t="s">
        <v>188</v>
      </c>
      <c r="C8" s="314">
        <f>IF(C7="",'Strategy comparison'!F12,C7)</f>
        <v>0.23298854999999996</v>
      </c>
      <c r="D8" s="293"/>
      <c r="E8" s="300">
        <v>4</v>
      </c>
      <c r="F8" s="301">
        <f>$C$5*$C$4</f>
        <v>60800.000000000007</v>
      </c>
      <c r="G8" s="301">
        <f>(1-C$11)*(C$4*C$5)*-C$6</f>
        <v>-9120.0000000000018</v>
      </c>
      <c r="H8" s="301">
        <f t="shared" si="0"/>
        <v>51680.000000000007</v>
      </c>
      <c r="I8" s="302">
        <f>I7</f>
        <v>0</v>
      </c>
      <c r="J8" s="292"/>
      <c r="K8" s="315" t="s">
        <v>193</v>
      </c>
      <c r="L8" s="316">
        <f>NPV(L7,H5:H9)+H4</f>
        <v>-10797.157734058448</v>
      </c>
    </row>
    <row r="9" spans="2:12" ht="17" thickBot="1" x14ac:dyDescent="0.25">
      <c r="B9" s="295" t="s">
        <v>201</v>
      </c>
      <c r="C9" s="299">
        <v>0.75</v>
      </c>
      <c r="D9" s="293"/>
      <c r="E9" s="306">
        <v>5</v>
      </c>
      <c r="F9" s="307">
        <f>$C$12*$C$4+($C$5*$C$4)</f>
        <v>434133.33333333331</v>
      </c>
      <c r="G9" s="307">
        <f>((1-C$11)*(C$4*C$5)*-C$6)+(((C12*C4)-I9)*-C6)</f>
        <v>-83786.666666666672</v>
      </c>
      <c r="H9" s="307">
        <f t="shared" si="0"/>
        <v>350346.66666666663</v>
      </c>
      <c r="I9" s="308">
        <f>I8</f>
        <v>0</v>
      </c>
      <c r="J9" s="292"/>
      <c r="K9" s="292"/>
      <c r="L9" s="292"/>
    </row>
    <row r="10" spans="2:12" ht="16" x14ac:dyDescent="0.2">
      <c r="B10" s="295" t="s">
        <v>200</v>
      </c>
      <c r="C10" s="299">
        <v>0.25</v>
      </c>
      <c r="D10" s="293"/>
      <c r="E10" s="293"/>
      <c r="F10" s="293"/>
      <c r="G10" s="293"/>
      <c r="H10" s="293"/>
      <c r="I10" s="293"/>
      <c r="J10" s="292"/>
      <c r="K10" s="292"/>
      <c r="L10" s="292"/>
    </row>
    <row r="11" spans="2:12" ht="16" x14ac:dyDescent="0.2">
      <c r="B11" s="295" t="s">
        <v>202</v>
      </c>
      <c r="C11" s="299">
        <v>0.25</v>
      </c>
      <c r="D11" s="293"/>
      <c r="E11" s="292"/>
      <c r="F11" s="292"/>
      <c r="G11" s="292"/>
      <c r="H11" s="292"/>
      <c r="I11" s="293"/>
      <c r="J11" s="292"/>
      <c r="K11" s="292"/>
      <c r="L11" s="292"/>
    </row>
    <row r="12" spans="2:12" ht="17" thickBot="1" x14ac:dyDescent="0.25">
      <c r="B12" s="303" t="s">
        <v>203</v>
      </c>
      <c r="C12" s="305">
        <v>0.7</v>
      </c>
      <c r="D12" s="293"/>
      <c r="E12" s="292"/>
      <c r="F12" s="292"/>
      <c r="G12" s="292"/>
      <c r="H12" s="292"/>
      <c r="I12" s="293"/>
      <c r="J12" s="292"/>
      <c r="K12" s="292"/>
      <c r="L12" s="292"/>
    </row>
    <row r="14" spans="2:12" ht="16" thickBot="1" x14ac:dyDescent="0.25"/>
    <row r="15" spans="2:12" ht="17" thickBot="1" x14ac:dyDescent="0.25">
      <c r="B15" s="464" t="s">
        <v>78</v>
      </c>
      <c r="C15" s="465"/>
      <c r="D15" s="293"/>
      <c r="E15" s="469" t="s">
        <v>206</v>
      </c>
      <c r="F15" s="470"/>
      <c r="G15" s="470"/>
      <c r="H15" s="470"/>
      <c r="I15" s="471"/>
      <c r="J15" s="292"/>
      <c r="K15" s="466" t="s">
        <v>182</v>
      </c>
      <c r="L15" s="468"/>
    </row>
    <row r="16" spans="2:12" ht="16" x14ac:dyDescent="0.2">
      <c r="B16" s="310" t="s">
        <v>190</v>
      </c>
      <c r="C16" s="311"/>
      <c r="D16" s="293"/>
      <c r="E16" s="295" t="s">
        <v>178</v>
      </c>
      <c r="F16" s="296" t="s">
        <v>175</v>
      </c>
      <c r="G16" s="296" t="s">
        <v>176</v>
      </c>
      <c r="H16" s="296" t="s">
        <v>177</v>
      </c>
      <c r="I16" s="297" t="s">
        <v>174</v>
      </c>
      <c r="J16" s="292"/>
      <c r="K16" s="295" t="s">
        <v>183</v>
      </c>
      <c r="L16" s="298">
        <f>IRR(F17:F19)</f>
        <v>-3.8981747971867153E-2</v>
      </c>
    </row>
    <row r="17" spans="2:12" ht="17" thickBot="1" x14ac:dyDescent="0.25">
      <c r="B17" s="294" t="s">
        <v>186</v>
      </c>
      <c r="C17" s="302">
        <f>IF(C16="",'No planning'!C15/C22,C16)</f>
        <v>533333.33333333337</v>
      </c>
      <c r="D17" s="293"/>
      <c r="E17" s="300">
        <v>0</v>
      </c>
      <c r="F17" s="301">
        <f>-C17</f>
        <v>-533333.33333333337</v>
      </c>
      <c r="G17" s="301"/>
      <c r="H17" s="301">
        <f>SUM(F17:G17)</f>
        <v>-533333.33333333337</v>
      </c>
      <c r="I17" s="302">
        <f>C17</f>
        <v>533333.33333333337</v>
      </c>
      <c r="J17" s="292"/>
      <c r="K17" s="303" t="s">
        <v>184</v>
      </c>
      <c r="L17" s="304">
        <f>IRR(H17:H19)</f>
        <v>-7.6780376235139336E-3</v>
      </c>
    </row>
    <row r="18" spans="2:12" ht="17" thickBot="1" x14ac:dyDescent="0.25">
      <c r="B18" s="295" t="s">
        <v>179</v>
      </c>
      <c r="C18" s="320">
        <v>0.114</v>
      </c>
      <c r="D18" s="293"/>
      <c r="E18" s="300">
        <v>1</v>
      </c>
      <c r="F18" s="301">
        <f>$C$18*$C$17</f>
        <v>60800.000000000007</v>
      </c>
      <c r="G18" s="301">
        <f>(1-C$24)*(C$17*C$18)*-C$19+(C17*C22*C21)</f>
        <v>84075.419999999984</v>
      </c>
      <c r="H18" s="301">
        <f>SUM(F18:G18)</f>
        <v>144875.41999999998</v>
      </c>
      <c r="I18" s="302">
        <f>MAX((1-$C$9)*C17,0)</f>
        <v>133333.33333333334</v>
      </c>
      <c r="J18" s="292"/>
      <c r="K18" s="292"/>
      <c r="L18" s="292"/>
    </row>
    <row r="19" spans="2:12" ht="17" thickBot="1" x14ac:dyDescent="0.25">
      <c r="B19" s="295" t="s">
        <v>180</v>
      </c>
      <c r="C19" s="299">
        <v>0.2</v>
      </c>
      <c r="D19" s="293"/>
      <c r="E19" s="306">
        <v>2</v>
      </c>
      <c r="F19" s="307">
        <f>$C$18*$C$17+(C17*C25)</f>
        <v>434133.33333333331</v>
      </c>
      <c r="G19" s="307">
        <f>(1-C$24)*(C$17*C$18)*-C$19+(((C17*C25)-I19)*-C19)+(C17*C23*C21)</f>
        <v>-52721.526666666672</v>
      </c>
      <c r="H19" s="307">
        <f>SUM(F19:G19)</f>
        <v>381411.80666666664</v>
      </c>
      <c r="I19" s="308">
        <f>MAX(I18-(C17*C23), 0)</f>
        <v>0</v>
      </c>
      <c r="J19" s="292"/>
      <c r="K19" s="464" t="s">
        <v>193</v>
      </c>
      <c r="L19" s="465"/>
    </row>
    <row r="20" spans="2:12" ht="16" x14ac:dyDescent="0.2">
      <c r="B20" s="295" t="s">
        <v>192</v>
      </c>
      <c r="C20" s="299"/>
      <c r="D20" s="293"/>
      <c r="E20" s="293"/>
      <c r="F20" s="301"/>
      <c r="G20" s="301"/>
      <c r="H20" s="301"/>
      <c r="I20" s="301"/>
      <c r="J20" s="292"/>
      <c r="K20" s="294" t="s">
        <v>194</v>
      </c>
      <c r="L20" s="317">
        <v>0.08</v>
      </c>
    </row>
    <row r="21" spans="2:12" ht="17" thickBot="1" x14ac:dyDescent="0.25">
      <c r="B21" s="295" t="s">
        <v>188</v>
      </c>
      <c r="C21" s="314">
        <f>IF(C20="",'Strategy comparison'!F12,C20)</f>
        <v>0.23298854999999996</v>
      </c>
      <c r="D21" s="293"/>
      <c r="E21" s="293"/>
      <c r="F21" s="293"/>
      <c r="G21" s="293"/>
      <c r="H21" s="293"/>
      <c r="I21" s="293"/>
      <c r="J21" s="292"/>
      <c r="K21" s="315" t="s">
        <v>193</v>
      </c>
      <c r="L21" s="316">
        <f>NPV(L20,H18:H19)+H17</f>
        <v>-72190.277549154242</v>
      </c>
    </row>
    <row r="22" spans="2:12" ht="16" x14ac:dyDescent="0.2">
      <c r="B22" s="295" t="s">
        <v>201</v>
      </c>
      <c r="C22" s="299">
        <v>0.75</v>
      </c>
      <c r="D22" s="293"/>
      <c r="E22" s="292"/>
      <c r="F22" s="292"/>
      <c r="G22" s="292"/>
      <c r="H22" s="292"/>
      <c r="I22" s="293"/>
      <c r="J22" s="292"/>
      <c r="K22" s="292"/>
      <c r="L22" s="292"/>
    </row>
    <row r="23" spans="2:12" ht="16" x14ac:dyDescent="0.2">
      <c r="B23" s="295" t="s">
        <v>200</v>
      </c>
      <c r="C23" s="299">
        <v>0.25</v>
      </c>
      <c r="D23" s="293"/>
      <c r="E23" s="292"/>
      <c r="F23" s="292"/>
      <c r="G23" s="292"/>
      <c r="H23" s="292"/>
      <c r="I23" s="293"/>
      <c r="J23" s="292"/>
      <c r="K23" s="292"/>
      <c r="L23" s="292"/>
    </row>
    <row r="24" spans="2:12" ht="16" x14ac:dyDescent="0.2">
      <c r="B24" s="295" t="s">
        <v>202</v>
      </c>
      <c r="C24" s="299">
        <v>0.25</v>
      </c>
      <c r="D24" s="293"/>
      <c r="J24" s="292"/>
      <c r="K24" s="292"/>
      <c r="L24" s="292"/>
    </row>
    <row r="25" spans="2:12" ht="17" thickBot="1" x14ac:dyDescent="0.25">
      <c r="B25" s="303" t="s">
        <v>203</v>
      </c>
      <c r="C25" s="305">
        <v>0.7</v>
      </c>
      <c r="D25" s="293"/>
      <c r="J25" s="292"/>
      <c r="K25" s="292"/>
      <c r="L25" s="292"/>
    </row>
  </sheetData>
  <mergeCells count="8">
    <mergeCell ref="B15:C15"/>
    <mergeCell ref="E15:I15"/>
    <mergeCell ref="K15:L15"/>
    <mergeCell ref="K19:L19"/>
    <mergeCell ref="B2:C2"/>
    <mergeCell ref="E2:I2"/>
    <mergeCell ref="K2:L2"/>
    <mergeCell ref="K6:L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dafb7d-549d-4b5a-b8ba-a945c5c5929c">
      <Terms xmlns="http://schemas.microsoft.com/office/infopath/2007/PartnerControls"/>
    </lcf76f155ced4ddcb4097134ff3c332f>
    <TaxCatchAll xmlns="b45d3870-f12f-469d-a0ca-9b01cab3f28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CE8A651FDFF449171A1BD61A9AEFF" ma:contentTypeVersion="15" ma:contentTypeDescription="Create a new document." ma:contentTypeScope="" ma:versionID="7f999ae375f8a93c39660a399d3d6c88">
  <xsd:schema xmlns:xsd="http://www.w3.org/2001/XMLSchema" xmlns:xs="http://www.w3.org/2001/XMLSchema" xmlns:p="http://schemas.microsoft.com/office/2006/metadata/properties" xmlns:ns2="02dafb7d-549d-4b5a-b8ba-a945c5c5929c" xmlns:ns3="b45d3870-f12f-469d-a0ca-9b01cab3f280" targetNamespace="http://schemas.microsoft.com/office/2006/metadata/properties" ma:root="true" ma:fieldsID="800e14778bc2f4bde49002cee9812557" ns2:_="" ns3:_="">
    <xsd:import namespace="02dafb7d-549d-4b5a-b8ba-a945c5c5929c"/>
    <xsd:import namespace="b45d3870-f12f-469d-a0ca-9b01cab3f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afb7d-549d-4b5a-b8ba-a945c5c59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bd8f5a-64ec-4c74-b151-af87aeae1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d3870-f12f-469d-a0ca-9b01cab3f28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877c15e-d844-4666-96ea-9b2e87e99359}" ma:internalName="TaxCatchAll" ma:showField="CatchAllData" ma:web="b45d3870-f12f-469d-a0ca-9b01cab3f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95782-8E0D-48E6-BE4C-72B3927BD1C7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b45d3870-f12f-469d-a0ca-9b01cab3f280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02dafb7d-549d-4b5a-b8ba-a945c5c5929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A00345D-D424-4E1D-B803-554191F5271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1080EE-9779-4175-ABD0-8F75A0DF5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afb7d-549d-4b5a-b8ba-a945c5c5929c"/>
    <ds:schemaRef ds:uri="b45d3870-f12f-469d-a0ca-9b01cab3f2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1373E7F-94D8-4427-9929-6AF6F09AD5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Strategy comparison</vt:lpstr>
      <vt:lpstr>DB comparison</vt:lpstr>
      <vt:lpstr>Roth comparison</vt:lpstr>
      <vt:lpstr>No planning</vt:lpstr>
      <vt:lpstr>Roth only</vt:lpstr>
      <vt:lpstr>RMD Simulation</vt:lpstr>
      <vt:lpstr>DB Only</vt:lpstr>
      <vt:lpstr>Film</vt:lpstr>
      <vt:lpstr>Film &amp; DB</vt:lpstr>
      <vt:lpstr>Film &amp; Roth</vt:lpstr>
      <vt:lpstr>Solar</vt:lpstr>
      <vt:lpstr>Solar &amp; DB</vt:lpstr>
      <vt:lpstr>Solar &amp; Roth</vt:lpstr>
      <vt:lpstr>Charitable</vt:lpstr>
      <vt:lpstr>Charitable &amp; DB</vt:lpstr>
      <vt:lpstr>Charitable &amp; Roth</vt:lpstr>
      <vt:lpstr>Solar &amp; Charitable</vt:lpstr>
      <vt:lpstr>Solar &amp; Charitable &amp; DB</vt:lpstr>
      <vt:lpstr>Solar &amp; Charitable &amp; Roth</vt:lpstr>
      <vt:lpstr>LEAP</vt:lpstr>
      <vt:lpstr>LEAP &amp; DB</vt:lpstr>
      <vt:lpstr>LEAP &amp; Roth</vt:lpstr>
      <vt:lpstr>LEAP &amp; Charitable</vt:lpstr>
      <vt:lpstr>LEAP &amp; Charitable &amp; DB</vt:lpstr>
      <vt:lpstr>LEAP &amp; Charitable &amp; Roth</vt:lpstr>
      <vt:lpstr>Tax Tables</vt:lpstr>
      <vt:lpstr>RGP Income Fund</vt:lpstr>
      <vt:lpstr>RGP Income Fund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Simms</dc:creator>
  <cp:keywords/>
  <dc:description/>
  <cp:lastModifiedBy>Jack Branch</cp:lastModifiedBy>
  <cp:revision/>
  <dcterms:created xsi:type="dcterms:W3CDTF">2015-06-05T18:17:20Z</dcterms:created>
  <dcterms:modified xsi:type="dcterms:W3CDTF">2026-10-02T02:11:32Z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0x010100D6FCE8A651FDFF449171A1BD61A9AEFF</vt:lpwstr>
  </property>
  <property fmtid="{D5CDD505-2E9C-101B-9397-08002B2CF9AE}" pid="3" name="MediaServiceImageTags">
    <vt:lpwstr/>
  </property>
</Properties>
</file>